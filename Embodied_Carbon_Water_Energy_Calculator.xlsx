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aterial_Embodied_Carbon" sheetId="2" state="visible" r:id="rId4"/>
    <sheet name="Material_Embodied_Water" sheetId="3" state="visible" r:id="rId5"/>
    <sheet name="Construction_Carbon" sheetId="4" state="visible" r:id="rId6"/>
    <sheet name="Construction_Water" sheetId="5" state="visible" r:id="rId7"/>
    <sheet name="Transport_Carbon" sheetId="6" state="visible" r:id="rId8"/>
    <sheet name="Transport_Water" sheetId="7" state="visible" r:id="rId9"/>
    <sheet name="Use_Stage_Carbon" sheetId="8" state="visible" r:id="rId10"/>
    <sheet name="End_of_Life_Carbon" sheetId="9" state="visible" r:id="rId11"/>
    <sheet name="Beyond_Building_Life" sheetId="10" state="visible" r:id="rId12"/>
    <sheet name="Material_Embodied_Energy" sheetId="11" state="visible" r:id="rId13"/>
    <sheet name="Transport_Energy" sheetId="12" state="visible" r:id="rId14"/>
    <sheet name="Construction_Energy" sheetId="13" state="visible" r:id="rId15"/>
    <sheet name="Operational_Energy_Detailed" sheetId="14" state="visible" r:id="rId16"/>
    <sheet name="Operational_Energy_EPI" sheetId="15" state="visible" r:id="rId17"/>
    <sheet name="Use_Stage_Energy" sheetId="16" state="visible" r:id="rId18"/>
    <sheet name="End_of_Life_Energy" sheetId="17" state="visible" r:id="rId19"/>
    <sheet name="Beyond_Building_Life_Energy" sheetId="18" state="visible" r:id="rId20"/>
    <sheet name="Notes_Assumptions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<sst xmlns="http://schemas.openxmlformats.org/spreadsheetml/2006/main" count="483" uniqueCount="346">
  <si>
    <t xml:space="preserve">EMBODIED CARBON, WATER &amp; LIFE-CYCLE ENERGY CALCULATOR</t>
  </si>
  <si>
    <t xml:space="preserve">Full Lifecycle (A1-A3, A4, A5, B1-B5/B6, C1-C4, Module D) | India-specific defaults | Yellow cells are editable inputs</t>
  </si>
  <si>
    <t xml:space="preserve">PROJECT INFORMATION</t>
  </si>
  <si>
    <t xml:space="preserve">Project Name</t>
  </si>
  <si>
    <t xml:space="preserve">Enter project name</t>
  </si>
  <si>
    <t xml:space="preserve">Project Location</t>
  </si>
  <si>
    <t xml:space="preserve">Enter location</t>
  </si>
  <si>
    <t xml:space="preserve">Total Built-up Area (sqm)</t>
  </si>
  <si>
    <t xml:space="preserve">Building Study Period (years)</t>
  </si>
  <si>
    <t xml:space="preserve">Operational Energy Mode (Detailed / EPI)</t>
  </si>
  <si>
    <t xml:space="preserve">EPI</t>
  </si>
  <si>
    <t xml:space="preserve">CARBON &amp; WATER SUMMARY</t>
  </si>
  <si>
    <t xml:space="preserve">Category</t>
  </si>
  <si>
    <t xml:space="preserve">Total (kgCO2e or Litres)</t>
  </si>
  <si>
    <t xml:space="preserve">Per sqm of Built-up Area</t>
  </si>
  <si>
    <t xml:space="preserve">Stage</t>
  </si>
  <si>
    <t xml:space="preserve">Material Embodied Carbon (Stage A1-A3)</t>
  </si>
  <si>
    <t xml:space="preserve">Carbon</t>
  </si>
  <si>
    <t xml:space="preserve">Construction Stage Carbon (Stage A5)</t>
  </si>
  <si>
    <t xml:space="preserve">Transportation Carbon (Stage A4)</t>
  </si>
  <si>
    <t xml:space="preserve">Use Stage Carbon (Stage B1-B5)</t>
  </si>
  <si>
    <t xml:space="preserve">End of Life Carbon (Stage C1-C4)</t>
  </si>
  <si>
    <t xml:space="preserve">TOTAL EMBODIED CARBON (Cradle-to-Grave, A+B+C)</t>
  </si>
  <si>
    <t xml:space="preserve">Net Benefits Beyond System Boundary (Module D - Carbon)*</t>
  </si>
  <si>
    <t xml:space="preserve">Module D</t>
  </si>
  <si>
    <t xml:space="preserve">Material Embodied Water</t>
  </si>
  <si>
    <t xml:space="preserve">Water</t>
  </si>
  <si>
    <t xml:space="preserve">Construction Stage Water</t>
  </si>
  <si>
    <t xml:space="preserve">Transportation Water (fuel footprint)</t>
  </si>
  <si>
    <t xml:space="preserve">TOTAL EMBODIED WATER</t>
  </si>
  <si>
    <t xml:space="preserve">ENERGY SUMMARY</t>
  </si>
  <si>
    <t xml:space="preserve">Total (MJ or kWh/year)</t>
  </si>
  <si>
    <t xml:space="preserve">Per sqm (of Built-up Area)</t>
  </si>
  <si>
    <t xml:space="preserve">Material Embodied Energy (Stage A1-A3)</t>
  </si>
  <si>
    <t xml:space="preserve">Energy (MJ)</t>
  </si>
  <si>
    <t xml:space="preserve">Transportation Energy (Stage A4)</t>
  </si>
  <si>
    <t xml:space="preserve">Construction Energy (Stage A5)</t>
  </si>
  <si>
    <t xml:space="preserve">Use Stage Energy - Maintenance/Replacement (B1-B5)</t>
  </si>
  <si>
    <t xml:space="preserve">End of Life Energy (Stage C1-C4)</t>
  </si>
  <si>
    <t xml:space="preserve">TOTAL EMBODIED ENERGY (MJ, Cradle-to-Grave, A+B+C)</t>
  </si>
  <si>
    <t xml:space="preserve">Net Energy Benefits Beyond System Boundary (Module D - Energy)</t>
  </si>
  <si>
    <t xml:space="preserve">Operational Energy Mode In Use</t>
  </si>
  <si>
    <t xml:space="preserve">TOTAL ANNUAL OPERATIONAL ENERGY (Stage B6, kWh/year)</t>
  </si>
  <si>
    <t xml:space="preserve">Energy (kWh/yr)</t>
  </si>
  <si>
    <t xml:space="preserve">COMBINED LIFE-CYCLE ENERGY (over Building Study Period)</t>
  </si>
  <si>
    <t xml:space="preserve">Cumulative Operational Energy over Study Period (MJ)</t>
  </si>
  <si>
    <t xml:space="preserve">1 kWh = 3.6 MJ</t>
  </si>
  <si>
    <t xml:space="preserve">TOTAL LIFE-CYCLE ENERGY (Embodied + Cumulative Operational, net of Module D) (MJ)</t>
  </si>
  <si>
    <t xml:space="preserve">Life-Cycle Energy per sqm (MJ/sqm)</t>
  </si>
  <si>
    <t xml:space="preserve">*Module D figures (reuse/recycling/energy-recovery credits) are shown as negative avoided-burden values. Carbon Module D is reported separately (not summed into Total Embodied Carbon), per EN 15978 convention; Energy Module D IS netted into Total Life-Cycle Energy above, per this tool's brief.</t>
  </si>
  <si>
    <t xml:space="preserve">See 'Notes_Assumptions' sheet for full source list, color-coding legend and disclaimers.</t>
  </si>
  <si>
    <t xml:space="preserve">SHEET 1 - MATERIAL EMBODIED CARBON (Stage A1-A3)</t>
  </si>
  <si>
    <t xml:space="preserve">Quantity per sqm and Carbon Factor are editable (blue/yellow). Total Quantity and Total Carbon auto-scale with Dashboard built-up area.</t>
  </si>
  <si>
    <t xml:space="preserve">Material Name</t>
  </si>
  <si>
    <t xml:space="preserve">Unit</t>
  </si>
  <si>
    <t xml:space="preserve">Quantity per sqm
(input)</t>
  </si>
  <si>
    <t xml:space="preserve">Total Quantity
(auto = qty/sqm x BUA)</t>
  </si>
  <si>
    <t xml:space="preserve">Embodied Carbon Factor
(kgCO2e/unit)</t>
  </si>
  <si>
    <t xml:space="preserve">Data Source</t>
  </si>
  <si>
    <t xml:space="preserve">Total Embodied Carbon
(kgCO2e)</t>
  </si>
  <si>
    <t xml:space="preserve">Cement (OPC 43/53 Grade)</t>
  </si>
  <si>
    <t xml:space="preserve">kg</t>
  </si>
  <si>
    <t xml:space="preserve">ICE DB v3.0 (adapted) / CPCB cement sector avg</t>
  </si>
  <si>
    <t xml:space="preserve">Cement (PPC / Blended)</t>
  </si>
  <si>
    <t xml:space="preserve">ICE DB v3.0 (blended cement, higher SCM content)</t>
  </si>
  <si>
    <t xml:space="preserve">TMT Steel Rebar</t>
  </si>
  <si>
    <t xml:space="preserve">worldsteel / India BF-BOF+EAF grid mix avg</t>
  </si>
  <si>
    <t xml:space="preserve">Ready-Mix Concrete M25</t>
  </si>
  <si>
    <t xml:space="preserve">m3</t>
  </si>
  <si>
    <t xml:space="preserve">ICE DB v3.0 (adapted, RMC w/ 30% GGBS avg)</t>
  </si>
  <si>
    <t xml:space="preserve">Fly Ash Brick</t>
  </si>
  <si>
    <t xml:space="preserve">no.</t>
  </si>
  <si>
    <t xml:space="preserve">IGBC/GRIHA material database (approx.)</t>
  </si>
  <si>
    <t xml:space="preserve">Clay Brick (fired)</t>
  </si>
  <si>
    <t xml:space="preserve">ICE DB v3.0 (fired clay brick, India kiln avg)</t>
  </si>
  <si>
    <t xml:space="preserve">AAC Block</t>
  </si>
  <si>
    <t xml:space="preserve">Manufacturer EPD average (India)</t>
  </si>
  <si>
    <t xml:space="preserve">Float Glass</t>
  </si>
  <si>
    <t xml:space="preserve">m2</t>
  </si>
  <si>
    <t xml:space="preserve">ICE DB v3.0 (flat/float glass, 6mm)</t>
  </si>
  <si>
    <t xml:space="preserve">Aluminium (avg. 33% recycled)</t>
  </si>
  <si>
    <t xml:space="preserve">ICE DB v3.0 (aluminium, recycled-content avg)</t>
  </si>
  <si>
    <t xml:space="preserve">Timber (sawn softwood)</t>
  </si>
  <si>
    <t xml:space="preserve">ICE DB v3.0 (sawn softwood, processing only)</t>
  </si>
  <si>
    <t xml:space="preserve">Ceramic Tiles</t>
  </si>
  <si>
    <t xml:space="preserve">ICE DB v3.0 (ceramic tile)</t>
  </si>
  <si>
    <t xml:space="preserve">Paint (water-based emulsion)</t>
  </si>
  <si>
    <t xml:space="preserve">litre</t>
  </si>
  <si>
    <t xml:space="preserve">ICE DB v3.0 (paint, general average)</t>
  </si>
  <si>
    <t xml:space="preserve">XPS/EPS Insulation Board</t>
  </si>
  <si>
    <t xml:space="preserve">ICE DB v3.0 (rigid foam board)</t>
  </si>
  <si>
    <t xml:space="preserve">Cement Plaster/Mortar (1:4)</t>
  </si>
  <si>
    <t xml:space="preserve">Derived from cement content (OPC/PPC blend)</t>
  </si>
  <si>
    <t xml:space="preserve">TOTAL</t>
  </si>
  <si>
    <t xml:space="preserve">SHEET 2 - MATERIAL EMBODIED WATER</t>
  </si>
  <si>
    <t xml:space="preserve">Quantity per sqm &amp; Total Quantity are linked from Sheet 1. Water Factor is editable. Totals auto-scale with built-up area.</t>
  </si>
  <si>
    <t xml:space="preserve">Material Name
(linked)</t>
  </si>
  <si>
    <t xml:space="preserve">Unit
(linked)</t>
  </si>
  <si>
    <t xml:space="preserve">Quantity per sqm
(linked)</t>
  </si>
  <si>
    <t xml:space="preserve">Total Quantity
(linked)</t>
  </si>
  <si>
    <t xml:space="preserve">Embodied Water Factor
(litres/unit)</t>
  </si>
  <si>
    <t xml:space="preserve">Total Embodied Water
(Litres)</t>
  </si>
  <si>
    <t xml:space="preserve">CSE India water footprint estimate</t>
  </si>
  <si>
    <t xml:space="preserve">Water Footprint Network - steel avg</t>
  </si>
  <si>
    <t xml:space="preserve">Estimated - mixing &amp; curing water</t>
  </si>
  <si>
    <t xml:space="preserve">Estimated - unfired brick production</t>
  </si>
  <si>
    <t xml:space="preserve">Estimated - fired brick production</t>
  </si>
  <si>
    <t xml:space="preserve">Estimated - glass manufacturing</t>
  </si>
  <si>
    <t xml:space="preserve">Water Footprint Network - aluminium</t>
  </si>
  <si>
    <t xml:space="preserve">Estimated - timber processing</t>
  </si>
  <si>
    <t xml:space="preserve">Estimated - tile firing process</t>
  </si>
  <si>
    <t xml:space="preserve">Estimated - paint manufacturing</t>
  </si>
  <si>
    <t xml:space="preserve">Estimated - foam board production</t>
  </si>
  <si>
    <t xml:space="preserve">Derived from cement content</t>
  </si>
  <si>
    <t xml:space="preserve">SHEET 3 - CONSTRUCTION STAGE CARBON (Stage A5)</t>
  </si>
  <si>
    <t xml:space="preserve">On-site construction activity emissions, normalised per sqm of built-up area. Emission factors are editable defaults - verify against site data.</t>
  </si>
  <si>
    <t xml:space="preserve">Construction Activity</t>
  </si>
  <si>
    <t xml:space="preserve">Emission Factor per sqm
(kgCO2e/sqm, input)</t>
  </si>
  <si>
    <t xml:space="preserve">Built-up Area (sqm)
(linked from Dashboard)</t>
  </si>
  <si>
    <t xml:space="preserve">Total Carbon
(kgCO2e)</t>
  </si>
  <si>
    <t xml:space="preserve">Excavation &amp; Earthwork (machinery diesel use)</t>
  </si>
  <si>
    <t xml:space="preserve">Formwork &amp; Shuttering fabrication</t>
  </si>
  <si>
    <t xml:space="preserve">Concreting operations (batching, pumping, vibrating)</t>
  </si>
  <si>
    <t xml:space="preserve">Reinforcement cutting &amp; bending</t>
  </si>
  <si>
    <t xml:space="preserve">Masonry work (mixing, hoisting)</t>
  </si>
  <si>
    <t xml:space="preserve">Plastering operations</t>
  </si>
  <si>
    <t xml:space="preserve">Tower Crane / Material Hoisting</t>
  </si>
  <si>
    <t xml:space="preserve">DG Set (Diesel Generator) operation</t>
  </si>
  <si>
    <t xml:space="preserve">Site dewatering / water pumping</t>
  </si>
  <si>
    <t xml:space="preserve">Site lighting &amp; temporary power (grid)</t>
  </si>
  <si>
    <t xml:space="preserve">Construction waste handling &amp; disposal</t>
  </si>
  <si>
    <t xml:space="preserve">Worker commute to site (daily, aggregated)</t>
  </si>
  <si>
    <t xml:space="preserve">On-site vehicle movement (dumpers, mixers)</t>
  </si>
  <si>
    <t xml:space="preserve">Curing-related energy use (pumps, misc.)</t>
  </si>
  <si>
    <t xml:space="preserve">SHEET 4 - CONSTRUCTION STAGE WATER</t>
  </si>
  <si>
    <t xml:space="preserve">On-site construction water use, normalised per sqm of built-up area. Water factors are editable defaults - verify against site water meter data.</t>
  </si>
  <si>
    <t xml:space="preserve">Water Factor per sqm
(Litres/sqm, input)</t>
  </si>
  <si>
    <t xml:space="preserve">Total Water
(Litres)</t>
  </si>
  <si>
    <t xml:space="preserve">Concrete curing water</t>
  </si>
  <si>
    <t xml:space="preserve">Dust suppression (water spraying)</t>
  </si>
  <si>
    <t xml:space="preserve">Equipment &amp; vehicle washing</t>
  </si>
  <si>
    <t xml:space="preserve">Worker sanitation &amp; drinking water</t>
  </si>
  <si>
    <t xml:space="preserve">Site housekeeping / cleaning</t>
  </si>
  <si>
    <t xml:space="preserve">Masonry wetting (bricks / blocks)</t>
  </si>
  <si>
    <t xml:space="preserve">Plastering water use</t>
  </si>
  <si>
    <t xml:space="preserve">Testing (cube testing, slump test, etc.)</t>
  </si>
  <si>
    <t xml:space="preserve">Landscape / temporary greenery watering</t>
  </si>
  <si>
    <t xml:space="preserve">Miscellaneous site water use</t>
  </si>
  <si>
    <t xml:space="preserve">Curing compound application water</t>
  </si>
  <si>
    <t xml:space="preserve">Formwork wetting / release agent water</t>
  </si>
  <si>
    <t xml:space="preserve">Site vehicle wheel-wash</t>
  </si>
  <si>
    <t xml:space="preserve">Contingency / other water use</t>
  </si>
  <si>
    <t xml:space="preserve">SHEET 5 - MATERIAL TRANSPORTATION CARBON (Stage A4)</t>
  </si>
  <si>
    <t xml:space="preserve">Material list &amp; quantities are linked from Sheet 1. Distance defaults to 400 km (editable). Mode of Transport is a dropdown.</t>
  </si>
  <si>
    <t xml:space="preserve">Weight per Unit
(kg, input)</t>
  </si>
  <si>
    <t xml:space="preserve">Total Weight
(tonnes)</t>
  </si>
  <si>
    <t xml:space="preserve">Mode of Transport
(dropdown)</t>
  </si>
  <si>
    <t xml:space="preserve">Distance to Site
(km, input, default 400)</t>
  </si>
  <si>
    <t xml:space="preserve">Emission Factor
(kgCO2e/tonne-km, input)</t>
  </si>
  <si>
    <t xml:space="preserve">Total Transport
Emissions (kgCO2e)</t>
  </si>
  <si>
    <t xml:space="preserve">Truck</t>
  </si>
  <si>
    <t xml:space="preserve">Note: Truck default EF = 0.12 kgCO2e/tonne-km; Rail default EF = 0.03 kgCO2e/tonne-km (GHG Protocol / India freight averages). Update column H manually if you change the Mode of Transport in column F.</t>
  </si>
  <si>
    <t xml:space="preserve">SHEET 6 - TRANSPORTATION WATER (Fuel Water Footprint, Optional)</t>
  </si>
  <si>
    <t xml:space="preserve">Estimates the water footprint of diesel consumed transporting materials from Sheet 5. Factors are editable defaults.</t>
  </si>
  <si>
    <t xml:space="preserve">Total Weight
(tonnes, linked)</t>
  </si>
  <si>
    <t xml:space="preserve">Distance to Site
(km, linked)</t>
  </si>
  <si>
    <t xml:space="preserve">Diesel Consumption
(L/tonne-km, input)</t>
  </si>
  <si>
    <t xml:space="preserve">Total Diesel
Consumed (Litres)</t>
  </si>
  <si>
    <t xml:space="preserve">Water Footprint of Diesel
(L water/L diesel, input)</t>
  </si>
  <si>
    <t xml:space="preserve">Total Water
Footprint (Litres)</t>
  </si>
  <si>
    <t xml:space="preserve">Note: Diesel consumption default = 0.035 L/tonne-km (typical loaded truck average). Water footprint of diesel production default = 7 L water per L diesel refined (indicative - refine using site-specific/refinery data where available).</t>
  </si>
  <si>
    <t xml:space="preserve">SHEET 7 - USE STAGE CARBON (Stage B1-B5)</t>
  </si>
  <si>
    <t xml:space="preserve">Replacement/event cycles are annualised over the study period and normalised per sqm of built-up area.</t>
  </si>
  <si>
    <t xml:space="preserve">Study Period Used in This Sheet (years, linked from Dashboard)</t>
  </si>
  <si>
    <t xml:space="preserve">Sub-Category</t>
  </si>
  <si>
    <t xml:space="preserve">Description</t>
  </si>
  <si>
    <t xml:space="preserve">Replacement/Event
Cycle (years, input)</t>
  </si>
  <si>
    <t xml:space="preserve">Emission Factor per Event
(kgCO2e/sqm, input)</t>
  </si>
  <si>
    <t xml:space="preserve">Number of Events
over Study Period</t>
  </si>
  <si>
    <t xml:space="preserve">Built-up Area
(linked)</t>
  </si>
  <si>
    <t xml:space="preserve">B1 - Use</t>
  </si>
  <si>
    <t xml:space="preserve">Operational use-stage emissions (equipment refrigerant leakage, material off-gassing/wear)</t>
  </si>
  <si>
    <t xml:space="preserve">B2 - Maintenance</t>
  </si>
  <si>
    <t xml:space="preserve">Routine upkeep, cleaning agents, minor consumables</t>
  </si>
  <si>
    <t xml:space="preserve">B3 - Repair</t>
  </si>
  <si>
    <t xml:space="preserve">Component repairs / minor part replacement (non-structural)</t>
  </si>
  <si>
    <t xml:space="preserve">B4 - Replacement</t>
  </si>
  <si>
    <t xml:space="preserve">Repainting (interior/exterior paint finishes)</t>
  </si>
  <si>
    <t xml:space="preserve">Sealants &amp; waterproofing membrane replacement</t>
  </si>
  <si>
    <t xml:space="preserve">Flooring/finishes replacement</t>
  </si>
  <si>
    <t xml:space="preserve">B5 - Refurbishment</t>
  </si>
  <si>
    <t xml:space="preserve">Major refurbishment / component upgrade cycle</t>
  </si>
  <si>
    <t xml:space="preserve">TOTAL USE STAGE CARBON (B1-B5)</t>
  </si>
  <si>
    <t xml:space="preserve">SHEET 8 - END OF LIFE CARBON (Stage C1-C4)</t>
  </si>
  <si>
    <t xml:space="preserve">C1, C3 &amp; C4 use per-sqm factors. C2 (waste transport) uses a distance &amp; weight-based calculation similar to Sheet 5.</t>
  </si>
  <si>
    <t xml:space="preserve">C1 - Deconstruction/Demolition</t>
  </si>
  <si>
    <t xml:space="preserve">Demolition equipment diesel use, manual dismantling</t>
  </si>
  <si>
    <t xml:space="preserve">C3 - Waste Processing/Recycling</t>
  </si>
  <si>
    <t xml:space="preserve">Sorting, crushing, recycling operations</t>
  </si>
  <si>
    <t xml:space="preserve">C4 - Disposal (Landfill/Incineration)</t>
  </si>
  <si>
    <t xml:space="preserve">Residual waste landfill decomposition / incineration emissions</t>
  </si>
  <si>
    <t xml:space="preserve">Subtotal (C1, C3, C4)</t>
  </si>
  <si>
    <t xml:space="preserve">C2 - TRANSPORT OF DEMOLITION WASTE TO DISPOSAL / RECYCLING SITE</t>
  </si>
  <si>
    <t xml:space="preserve">Waste Category</t>
  </si>
  <si>
    <t xml:space="preserve">Waste Generation Rate
(tonnes/sqm, input)</t>
  </si>
  <si>
    <t xml:space="preserve">Total Waste Quantity
(tonnes)</t>
  </si>
  <si>
    <t xml:space="preserve">Distance to Site
(km, input, default 50)</t>
  </si>
  <si>
    <t xml:space="preserve">Demolition &amp; Construction Waste</t>
  </si>
  <si>
    <t xml:space="preserve">TOTAL END OF LIFE CARBON (C1-C4)</t>
  </si>
  <si>
    <t xml:space="preserve">SHEET 9 - BEYOND BUILDING LIFE (Module D - Carbon)</t>
  </si>
  <si>
    <t xml:space="preserve">Reuse/recycling/energy-recovery credits beyond the system boundary. Negative values = carbon benefit (per EN 15978 convention).</t>
  </si>
  <si>
    <t xml:space="preserve">Carbon Benefit/Load Factor
per sqm (kgCO2e/sqm, input)</t>
  </si>
  <si>
    <t xml:space="preserve">Net Carbon Impact
(kgCO2e)</t>
  </si>
  <si>
    <t xml:space="preserve">Reuse Potential</t>
  </si>
  <si>
    <t xml:space="preserve">Credit for components suitable for direct reuse (doors, fixtures, structural steel, etc.)</t>
  </si>
  <si>
    <t xml:space="preserve">Recycling Potential</t>
  </si>
  <si>
    <t xml:space="preserve">Credit for material recovery value (steel, aluminium, glass recycling)</t>
  </si>
  <si>
    <t xml:space="preserve">Energy Recovery</t>
  </si>
  <si>
    <t xml:space="preserve">Credit for energy recovered from waste incineration, net of process emissions</t>
  </si>
  <si>
    <t xml:space="preserve">NET IMPACT - MODULE D (Beyond Building Life)</t>
  </si>
  <si>
    <t xml:space="preserve">Note: Negative values represent an avoided-burden credit. This module is reported separately from Total Embodied Carbon on the Dashboard, per EN 15978 convention (Module D is outside the main building lifecycle system boundary).</t>
  </si>
  <si>
    <t xml:space="preserve">SHEET 10 - MATERIAL EMBODIED ENERGY (Stage A1-A3)</t>
  </si>
  <si>
    <t xml:space="preserve">Quantity per sqm &amp; Total Quantity are linked from Sheet 1. Energy Factor is editable. Totals auto-scale with built-up area.</t>
  </si>
  <si>
    <t xml:space="preserve">Embodied Energy Factor
(MJ/unit)</t>
  </si>
  <si>
    <t xml:space="preserve">Total Embodied Energy
(MJ)</t>
  </si>
  <si>
    <t xml:space="preserve">Hammond &amp; Jones ICE DB / CPWD DSR energy norms</t>
  </si>
  <si>
    <t xml:space="preserve">Hammond &amp; Jones ICE DB (blended cement)</t>
  </si>
  <si>
    <t xml:space="preserve">worldsteel / Hammond &amp; Jones ICE DB (rebar avg)</t>
  </si>
  <si>
    <t xml:space="preserve">ICE DB (adapted, RMC w/ GGBS avg)</t>
  </si>
  <si>
    <t xml:space="preserve">ICE DB (fired clay brick, India kiln avg)</t>
  </si>
  <si>
    <t xml:space="preserve">ICE DB (flat/float glass, 6mm)</t>
  </si>
  <si>
    <t xml:space="preserve">ICE DB (aluminium, recycled-content avg)</t>
  </si>
  <si>
    <t xml:space="preserve">ICE DB (sawn softwood, processing only)</t>
  </si>
  <si>
    <t xml:space="preserve">ICE DB (ceramic tile firing)</t>
  </si>
  <si>
    <t xml:space="preserve">ICE DB (paint, general average)</t>
  </si>
  <si>
    <t xml:space="preserve">ICE DB (rigid foam board)</t>
  </si>
  <si>
    <t xml:space="preserve">SHEET 11 - MATERIAL TRANSPORTATION ENERGY (Stage A4)</t>
  </si>
  <si>
    <t xml:space="preserve">Weight, Mode &amp; Distance are linked from Sheet 5 (Transport_Carbon) to avoid duplicate entry. Energy Factor is editable.</t>
  </si>
  <si>
    <t xml:space="preserve">Mode of Transport
(linked)</t>
  </si>
  <si>
    <t xml:space="preserve">Fuel Energy Factor
(MJ/tonne-km, input)</t>
  </si>
  <si>
    <t xml:space="preserve">Total Transport
Energy (MJ)</t>
  </si>
  <si>
    <t xml:space="preserve">Note: Truck default fuel energy factor = 1.35 MJ/tonne-km (~0.035 L diesel/tonne-km x 38.6 MJ/L). Rail is typically lower (~0.35 MJ/tonne-km) - update column E manually to match the Mode selected in Sheet 5.</t>
  </si>
  <si>
    <t xml:space="preserve">SHEET 12 - CONSTRUCTION STAGE ENERGY (Stage A5)</t>
  </si>
  <si>
    <t xml:space="preserve">On-site construction activity energy use, normalised per sqm of built-up area. Energy factors are editable defaults.</t>
  </si>
  <si>
    <t xml:space="preserve">Energy Factor per sqm
(MJ/sqm, input)</t>
  </si>
  <si>
    <t xml:space="preserve">Total Energy
(MJ)</t>
  </si>
  <si>
    <t xml:space="preserve">SHEET 13 - OPERATIONAL ENERGY: DETAILED METHOD (Stage B6)</t>
  </si>
  <si>
    <t xml:space="preserve">End-use-wise annual operational energy. Feeds the Dashboard total only when Operational Energy Mode = 'Detailed'.</t>
  </si>
  <si>
    <t xml:space="preserve">End-Use</t>
  </si>
  <si>
    <t xml:space="preserve">Connected Load
(W/sqm, input)</t>
  </si>
  <si>
    <t xml:space="preserve">Operating Hours
/year (input)</t>
  </si>
  <si>
    <t xml:space="preserve">Diversity/Load
Factor (input)</t>
  </si>
  <si>
    <t xml:space="preserve">Annual Energy
(kWh/year)</t>
  </si>
  <si>
    <t xml:space="preserve">% of Total</t>
  </si>
  <si>
    <t xml:space="preserve">Lighting</t>
  </si>
  <si>
    <t xml:space="preserve">HVAC (Chillers/AHUs/FCUs)</t>
  </si>
  <si>
    <t xml:space="preserve">Plug / Equipment Loads</t>
  </si>
  <si>
    <t xml:space="preserve">Lifts / Elevators</t>
  </si>
  <si>
    <t xml:space="preserve">Pumps</t>
  </si>
  <si>
    <t xml:space="preserve">Common Area / External Lighting</t>
  </si>
  <si>
    <t xml:space="preserve">TOTAL ANNUAL OPERATIONAL ENERGY (Detailed)</t>
  </si>
  <si>
    <t xml:space="preserve">Annual Energy (kWh/year) = Connected Load (W/sqm) x Built-up Area / 1000 x Operating Hours/year x Diversity/Load Factor.</t>
  </si>
  <si>
    <t xml:space="preserve">SHEET 14 - OPERATIONAL ENERGY: EPI METHOD (Stage B6 Shortcut)</t>
  </si>
  <si>
    <t xml:space="preserve">Feeds the Dashboard total only when Operational Energy Mode = 'EPI'. Reference table below is indicative - override the EPI value for your project.</t>
  </si>
  <si>
    <t xml:space="preserve">ECBC/BEE TYPICAL EPI BENCHMARKS (kWh/sqm/year) - REFERENCE ONLY</t>
  </si>
  <si>
    <t xml:space="preserve">Building Type</t>
  </si>
  <si>
    <t xml:space="preserve">Typical EPI (kWh/sqm/year)</t>
  </si>
  <si>
    <t xml:space="preserve">Office</t>
  </si>
  <si>
    <t xml:space="preserve">Residential</t>
  </si>
  <si>
    <t xml:space="preserve">Retail</t>
  </si>
  <si>
    <t xml:space="preserve">Healthcare</t>
  </si>
  <si>
    <t xml:space="preserve">Hospitality</t>
  </si>
  <si>
    <t xml:space="preserve">SELECTED PROJECT EPI CALCULATION</t>
  </si>
  <si>
    <t xml:space="preserve">Building Type
(dropdown)</t>
  </si>
  <si>
    <t xml:space="preserve">EPI Benchmark
(kWh/sqm/year, input)</t>
  </si>
  <si>
    <t xml:space="preserve">Total Annual Operational
Energy (kWh/year)</t>
  </si>
  <si>
    <t xml:space="preserve">Update the EPI Benchmark (B14) to match your Building Type using the reference table above, or override with a project-specific/simulated EPI value.</t>
  </si>
  <si>
    <t xml:space="preserve">SHEET 15 - USE STAGE ENERGY (Stage B1-B5, Maintenance/Replacement)</t>
  </si>
  <si>
    <t xml:space="preserve">Embodied energy of maintenance/repair/replacement/refurbishment, annualised over the study period. Excludes recurring operational energy (see Sheet 13/14 for B6).</t>
  </si>
  <si>
    <t xml:space="preserve">Energy Factor per Event
(MJ/sqm, input)</t>
  </si>
  <si>
    <t xml:space="preserve">HVAC equipment replacement (embodied energy of new units)</t>
  </si>
  <si>
    <t xml:space="preserve">TOTAL USE STAGE ENERGY (B1-B5)</t>
  </si>
  <si>
    <t xml:space="preserve">SHEET 16 - END OF LIFE ENERGY (Stage C1-C4)</t>
  </si>
  <si>
    <t xml:space="preserve">C1, C3 &amp; C4 use per-sqm factors. C2 (waste transport) links waste quantity &amp; distance from the End_of_Life_Carbon sheet.</t>
  </si>
  <si>
    <t xml:space="preserve">Demolition equipment diesel/energy use, manual dismantling</t>
  </si>
  <si>
    <t xml:space="preserve">Residual waste handling energy (landfill/incineration)</t>
  </si>
  <si>
    <t xml:space="preserve">C2 - ENERGY FOR TRANSPORT OF DEMOLITION WASTE (linked from End_of_Life_Carbon)</t>
  </si>
  <si>
    <t xml:space="preserve">Waste Category
(linked)</t>
  </si>
  <si>
    <t xml:space="preserve">Waste Generation Rate
(tonnes/sqm, linked)</t>
  </si>
  <si>
    <t xml:space="preserve">Total Waste Quantity
(tonnes, linked)</t>
  </si>
  <si>
    <t xml:space="preserve">Energy Factor
(MJ/tonne-km, input)</t>
  </si>
  <si>
    <t xml:space="preserve">TOTAL END OF LIFE ENERGY (C1-C4)</t>
  </si>
  <si>
    <t xml:space="preserve">SHEET 17 - BEYOND BUILDING LIFE - ENERGY (Module D)</t>
  </si>
  <si>
    <t xml:space="preserve">Energy recovery/reuse/recycling credits beyond the system boundary. Negative values = energy benefit. This total IS netted into Total Life-Cycle Energy on the Dashboard.</t>
  </si>
  <si>
    <t xml:space="preserve">Energy Benefit/Load Factor
per sqm (MJ/sqm, input)</t>
  </si>
  <si>
    <t xml:space="preserve">Net Energy Impact
(MJ)</t>
  </si>
  <si>
    <t xml:space="preserve">Credit for embodied energy of components suitable for direct reuse</t>
  </si>
  <si>
    <t xml:space="preserve">Credit for embodied energy recovered via material recycling (steel, aluminium, glass)</t>
  </si>
  <si>
    <t xml:space="preserve">Credit for energy recovered from waste incineration, net of process energy</t>
  </si>
  <si>
    <t xml:space="preserve">NET IMPACT - MODULE D ENERGY (Beyond Building Life)</t>
  </si>
  <si>
    <t xml:space="preserve">Note: Unlike the Carbon Module D (reported separately), this Energy Module D total IS included as a net deduction in Total Life-Cycle Energy on the Dashboard, per this tool's energy brief.</t>
  </si>
  <si>
    <t xml:space="preserve">NOTES, ASSUMPTIONS &amp; DATA SOURCES</t>
  </si>
  <si>
    <t xml:space="preserve">COLOR-CODING LEGEND</t>
  </si>
  <si>
    <t xml:space="preserve">Blue text / Yellow fill</t>
  </si>
  <si>
    <t xml:space="preserve">Editable input cell - update with project-specific or verified data</t>
  </si>
  <si>
    <t xml:space="preserve">Black text</t>
  </si>
  <si>
    <t xml:space="preserve">Formula cell - calculated automatically, do not overwrite</t>
  </si>
  <si>
    <t xml:space="preserve">Green text</t>
  </si>
  <si>
    <t xml:space="preserve">Link pulling a value from another sheet - do not overwrite</t>
  </si>
  <si>
    <t xml:space="preserve">Light blue fill (no yellow)</t>
  </si>
  <si>
    <t xml:space="preserve">Total / subtotal row</t>
  </si>
  <si>
    <t xml:space="preserve">Amber/orange/brown section band</t>
  </si>
  <si>
    <t xml:space="preserve">Section header for a sub-block within a sheet</t>
  </si>
  <si>
    <t xml:space="preserve">Grey fill</t>
  </si>
  <si>
    <t xml:space="preserve">Reference/lookup table shown for guidance only (not linked into formulas)</t>
  </si>
  <si>
    <t xml:space="preserve">GENERAL ASSUMPTIONS &amp; DATA SOURCES</t>
  </si>
  <si>
    <t xml:space="preserve">Scope</t>
  </si>
  <si>
    <t xml:space="preserve">Covers the full building lifecycle per EN 15978 / LEED LCA framework for carbon, water AND energy: Stage A1-A3 (materials), A4 (transport), A5 (construction), B1-B5 (use stage maintenance/replacement), B6 (operational energy), C1-C4 (end of life), and Module D (benefits beyond the system boundary) - all normalised per sqm of built-up area.</t>
  </si>
  <si>
    <t xml:space="preserve">Material carbon/water factors (A1-A3)</t>
  </si>
  <si>
    <t xml:space="preserve">Default embodied carbon and water factors are indicative values adapted from the ICE Database v3.0 (University of Bath, UK), published Indian LCA studies / EPDs, and IGBC/GRIHA material guidance. Replace with verified supplier/EPD data where available.</t>
  </si>
  <si>
    <t xml:space="preserve">Material embodied energy factors (A1-A3)</t>
  </si>
  <si>
    <t xml:space="preserve">Default embodied energy factors (MJ/unit) are adapted from Hammond &amp; Jones' Inventory of Carbon &amp; Energy (ICE) Database v3.0 and CPWD DSR/SOR energy norms. These represent primary/process energy content and should be replaced with verified EPD or supplier energy-declaration data for certification submissions.</t>
  </si>
  <si>
    <t xml:space="preserve">Quantities per sqm</t>
  </si>
  <si>
    <t xml:space="preserve">Quantity-per-sqm values in Sheet 1 are typical planning-stage benchmarks for a generic mid-rise building; replace with actual Bill of Quantities (BOQ) data for project-level accuracy. The same quantities drive the Carbon, Water and Energy material sheets.</t>
  </si>
  <si>
    <t xml:space="preserve">Construction stage (A5)</t>
  </si>
  <si>
    <t xml:space="preserve">Emission, water and energy factors per sqm for site activities are estimated defaults based on typical Indian construction site diesel/water/energy consumption patterns and CII-GBC/IGBC benchmark ranges. Calibrate against actual site fuel logs, water meter and energy meter readings.</t>
  </si>
  <si>
    <t xml:space="preserve">Transportation (A4)</t>
  </si>
  <si>
    <t xml:space="preserve">Default transport distance is 400 km (editable per material in Sheet 5). Truck carbon EF = 0.12 kgCO2e/tonne-km; truck energy factor = 1.35 MJ/tonne-km (~0.035 L diesel/tonne-km x 38.6 MJ/L diesel calorific value). Rail values are lower - update manually if Mode is changed to Rail.</t>
  </si>
  <si>
    <t xml:space="preserve">Use stage (B1-B5)</t>
  </si>
  <si>
    <t xml:space="preserve">Replacement-cycle items (repainting, sealants, flooring, HVAC equipment, refurbishment) are annualised over a Building Study Period (default 50 years, RICS standard, editable on Dashboard). Number of Events = ROUNDDOWN(Study Period / Cycle Years). Default cycle lengths and per-event factors are indicative planning assumptions - refine using manufacturer/ISO 15686 reference service-life data where available.</t>
  </si>
  <si>
    <t xml:space="preserve">Operational energy (B6) - Detailed method</t>
  </si>
  <si>
    <t xml:space="preserve">Sheet 13 sums annual energy across six end-uses (lighting, HVAC, plug loads, lifts, pumps, common area) using Connected Load (W/sqm) x Built-up Area x Operating Hours x Diversity/Load Factor. Defaults are indicative ECBC-benchmark planning assumptions and should be replaced with metered data or an energy simulation model (e.g. eQuest, DesignBuilder, EnergyPlus) for accurate reporting.</t>
  </si>
  <si>
    <t xml:space="preserve">Operational energy (B6) - EPI method</t>
  </si>
  <si>
    <t xml:space="preserve">Sheet 14 offers a shortcut: select a Building Type and apply a typical EPI (kWh/sqm/year) from ECBC/BEE benchmark ranges, multiplied by Built-up Area. The reference table is indicative only - always override with a project-specific or simulated EPI where available.</t>
  </si>
  <si>
    <t xml:space="preserve">Operational Energy Mode toggle</t>
  </si>
  <si>
    <t xml:space="preserve">The Dashboard's 'Operational Energy Mode' selector (Detailed or EPI) determines which sheet feeds the Dashboard's Total Annual Operational Energy, to avoid double-counting. Only one mode should be treated as authoritative at a time.</t>
  </si>
  <si>
    <t xml:space="preserve">End of life (C1-C4)</t>
  </si>
  <si>
    <t xml:space="preserve">C1 (demolition), C3 (waste processing/recycling) and C4 (disposal) use per-sqm default factors for carbon, and separate per-sqm default factors for energy. C2 (waste transport) uses a distance x weight x factor calculation; the Energy sheet links waste quantity and distance directly from the Carbon end-of-life sheet to keep a single source of truth for those assumptions.</t>
  </si>
  <si>
    <t xml:space="preserve">Module D - Carbon vs Energy convention</t>
  </si>
  <si>
    <t xml:space="preserve">Per EN 15978 convention, Module D (Beyond Building Life) sits outside the main A+B+C system boundary. On the Dashboard, Carbon Module D is reported SEPARATELY and NOT summed into Total Embodied Carbon. Energy Module D, per this tool's specific brief, IS netted into Total Life-Cycle Energy as a deduction - reflecting the way the two briefs were framed. Adjust this treatment if your certification pathway requires strict EN 15978 separation for both.</t>
  </si>
  <si>
    <t xml:space="preserve">Unit conversions</t>
  </si>
  <si>
    <t xml:space="preserve">1 kWh = 3.6 MJ (used to convert cumulative operational energy into MJ for the combined life-cycle metric). Other useful conversions: 1 MJ = 0.278 kWh; 1 kgoe = 41.87 MJ = 11.63 kWh; 1 litre of diesel (calorific value) approx. 38.6 MJ.</t>
  </si>
  <si>
    <t xml:space="preserve">Certification use</t>
  </si>
  <si>
    <t xml:space="preserve">This tool is designed to support LEED BD+C Materials &amp; Resources and Energy &amp; Atmosphere credit documentation, GRIHA/IGBC innovation credit narratives, and ECBC compliance reporting. For formal submission, replace all default factors with project-specific, EPD-verified, metered, or simulated values, updating the Data Source / Description columns accordingly.</t>
  </si>
  <si>
    <t xml:space="preserve">Disclaimer</t>
  </si>
  <si>
    <t xml:space="preserve">All default values in this workbook are indicative planning-stage estimates only. They are not a substitute for a full Life Cycle Assessment (LCA) per ISO 14040/14044 or EN 15978, or a certified energy simulation/audit, and should be independently verified before use in regulatory or certification submissions.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</si>
</sst>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#,##0.0"/>
    <numFmt numFmtId="167" formatCode="#,##0.00"/>
    <numFmt numFmtId="168" formatCode="#,##0.000"/>
    <numFmt numFmtId="169" formatCode="0.000"/>
    <numFmt numFmtId="170" formatCode="0.00"/>
    <numFmt numFmtId="171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6A1B9A"/>
        <bgColor rgb="FF800080"/>
      </patternFill>
    </fill>
    <fill>
      <patternFill patternType="solid">
        <fgColor rgb="FFD9E1F2"/>
        <bgColor rgb="FFD9D9D9"/>
      </patternFill>
    </fill>
    <fill>
      <patternFill patternType="solid">
        <fgColor rgb="FFFFF2CC"/>
        <bgColor rgb="FFFCE9D0"/>
      </patternFill>
    </fill>
    <fill>
      <patternFill patternType="solid">
        <fgColor rgb="FFFCE9D0"/>
        <bgColor rgb="FFFFF2CC"/>
      </patternFill>
    </fill>
    <fill>
      <patternFill patternType="solid">
        <fgColor rgb="FF2E7D32"/>
        <bgColor rgb="FF008000"/>
      </patternFill>
    </fill>
    <fill>
      <patternFill patternType="solid">
        <fgColor rgb="FF1565C0"/>
        <bgColor rgb="FF008080"/>
      </patternFill>
    </fill>
    <fill>
      <patternFill patternType="solid">
        <fgColor rgb="FFB7791F"/>
        <bgColor rgb="FFEF6C00"/>
      </patternFill>
    </fill>
    <fill>
      <patternFill patternType="solid">
        <fgColor rgb="FFC62828"/>
        <bgColor rgb="FFC0504D"/>
      </patternFill>
    </fill>
    <fill>
      <patternFill patternType="solid">
        <fgColor rgb="FFEF6C00"/>
        <bgColor rgb="FFB7791F"/>
      </patternFill>
    </fill>
    <fill>
      <patternFill patternType="solid">
        <fgColor rgb="FFF2F2F2"/>
        <bgColor rgb="FFFFFFFF"/>
      </patternFill>
    </fill>
    <fill>
      <patternFill patternType="solid">
        <fgColor rgb="FF6D4C41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6A1B9A"/>
      <rgbColor rgb="FF008080"/>
      <rgbColor rgb="FFB7B7B7"/>
      <rgbColor rgb="FF878787"/>
      <rgbColor rgb="FF9999FF"/>
      <rgbColor rgb="FFC0504D"/>
      <rgbColor rgb="FFFFF2CC"/>
      <rgbColor rgb="FFF2F2F2"/>
      <rgbColor rgb="FF660066"/>
      <rgbColor rgb="FFFF808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CE9D0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79646"/>
      <rgbColor rgb="FFEF6C00"/>
      <rgbColor rgb="FF8064A2"/>
      <rgbColor rgb="FF969696"/>
      <rgbColor rgb="FF003366"/>
      <rgbColor rgb="FF2E7D32"/>
      <rgbColor rgb="FF003300"/>
      <rgbColor rgb="FF333300"/>
      <rgbColor rgb="FFC62828"/>
      <rgbColor rgb="FF6D4C41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Embodied Carbon Breakdown by Lifecycle Stage (kgCO2e)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Dashboard!$A$13:$A$17</c:f>
              <c:strCache>
                <c:ptCount val="5"/>
                <c:pt idx="0">
                  <c:v>Material Embodied Carbon (Stage A1-A3)</c:v>
                </c:pt>
                <c:pt idx="1">
                  <c:v>Construction Stage Carbon (Stage A5)</c:v>
                </c:pt>
                <c:pt idx="2">
                  <c:v>Transportation Carbon (Stage A4)</c:v>
                </c:pt>
                <c:pt idx="3">
                  <c:v>Use Stage Carbon (Stage B1-B5)</c:v>
                </c:pt>
                <c:pt idx="4">
                  <c:v>End of Life Carbon (Stage C1-C4)</c:v>
                </c:pt>
              </c:strCache>
            </c:strRef>
          </c:cat>
          <c:val>
            <c:numRef>
              <c:f>Dashboard!$B$13:$B$17</c:f>
              <c:numCache>
                <c:formatCode>#,##0.0</c:formatCode>
                <c:ptCount val="5"/>
                <c:pt idx="0">
                  <c:v>2052745</c:v>
                </c:pt>
                <c:pt idx="1">
                  <c:v>500000</c:v>
                </c:pt>
                <c:pt idx="2">
                  <c:v>337653.6</c:v>
                </c:pt>
                <c:pt idx="3">
                  <c:v>916000</c:v>
                </c:pt>
                <c:pt idx="4">
                  <c:v>139000</c:v>
                </c:pt>
              </c:numCache>
            </c:numRef>
          </c:val>
        </c:ser>
        <c:gapWidth val="150"/>
        <c:overlap val="0"/>
        <c:axId val="79156073"/>
        <c:axId val="60546516"/>
      </c:barChart>
      <c:catAx>
        <c:axId val="791560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546516"/>
        <c:crosses val="autoZero"/>
        <c:auto val="1"/>
        <c:lblAlgn val="ctr"/>
        <c:lblOffset val="100"/>
        <c:noMultiLvlLbl val="0"/>
      </c:catAx>
      <c:valAx>
        <c:axId val="605465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kgCO2e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1560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Embodied Water Breakdown (Litres)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Dashboard!$A$21:$A$23</c:f>
              <c:strCache>
                <c:ptCount val="3"/>
                <c:pt idx="0">
                  <c:v>Material Embodied Water</c:v>
                </c:pt>
                <c:pt idx="1">
                  <c:v>Construction Stage Water</c:v>
                </c:pt>
                <c:pt idx="2">
                  <c:v>Transportation Water (fuel footprint)</c:v>
                </c:pt>
              </c:strCache>
            </c:strRef>
          </c:cat>
          <c:val>
            <c:numRef>
              <c:f>Dashboard!$B$21:$B$23</c:f>
              <c:numCache>
                <c:formatCode>#,##0.0</c:formatCode>
                <c:ptCount val="3"/>
                <c:pt idx="0">
                  <c:v>35680000</c:v>
                </c:pt>
                <c:pt idx="1">
                  <c:v>865000</c:v>
                </c:pt>
                <c:pt idx="2">
                  <c:v>689376.1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Embodied Energy Breakdown by Lifecycle Stage (MJ)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Dashboard!$A$28:$A$32</c:f>
              <c:strCache>
                <c:ptCount val="5"/>
                <c:pt idx="0">
                  <c:v>Material Embodied Energy (Stage A1-A3)</c:v>
                </c:pt>
                <c:pt idx="1">
                  <c:v>Transportation Energy (Stage A4)</c:v>
                </c:pt>
                <c:pt idx="2">
                  <c:v>Construction Energy (Stage A5)</c:v>
                </c:pt>
                <c:pt idx="3">
                  <c:v>Use Stage Energy - Maintenance/Replacement (B1-B5)</c:v>
                </c:pt>
                <c:pt idx="4">
                  <c:v>End of Life Energy (Stage C1-C4)</c:v>
                </c:pt>
              </c:strCache>
            </c:strRef>
          </c:cat>
          <c:val>
            <c:numRef>
              <c:f>Dashboard!$B$28:$B$32</c:f>
              <c:numCache>
                <c:formatCode>#,##0.0</c:formatCode>
                <c:ptCount val="5"/>
                <c:pt idx="0">
                  <c:v>17747500</c:v>
                </c:pt>
                <c:pt idx="1">
                  <c:v>3798603</c:v>
                </c:pt>
                <c:pt idx="2">
                  <c:v>2710000</c:v>
                </c:pt>
                <c:pt idx="3">
                  <c:v>11750000</c:v>
                </c:pt>
                <c:pt idx="4">
                  <c:v>1651250</c:v>
                </c:pt>
              </c:numCache>
            </c:numRef>
          </c:val>
        </c:ser>
        <c:gapWidth val="150"/>
        <c:overlap val="0"/>
        <c:axId val="45816076"/>
        <c:axId val="97231049"/>
      </c:barChart>
      <c:catAx>
        <c:axId val="458160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231049"/>
        <c:crosses val="autoZero"/>
        <c:auto val="1"/>
        <c:lblAlgn val="ctr"/>
        <c:lblOffset val="100"/>
        <c:noMultiLvlLbl val="0"/>
      </c:catAx>
      <c:valAx>
        <c:axId val="972310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MJ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8160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Operational Energy End-Use Split (kWh/year)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Operational_Energy_Detailed!$A$5:$A$10</c:f>
              <c:strCache>
                <c:ptCount val="6"/>
                <c:pt idx="0">
                  <c:v>Lighting</c:v>
                </c:pt>
                <c:pt idx="1">
                  <c:v>HVAC (Chillers/AHUs/FCUs)</c:v>
                </c:pt>
                <c:pt idx="2">
                  <c:v>Plug / Equipment Loads</c:v>
                </c:pt>
                <c:pt idx="3">
                  <c:v>Lifts / Elevators</c:v>
                </c:pt>
                <c:pt idx="4">
                  <c:v>Pumps</c:v>
                </c:pt>
                <c:pt idx="5">
                  <c:v>Common Area / External Lighting</c:v>
                </c:pt>
              </c:strCache>
            </c:strRef>
          </c:cat>
          <c:val>
            <c:numRef>
              <c:f>Operational_Energy_Detailed!$F$5:$F$10</c:f>
              <c:numCache>
                <c:formatCode>#,##0.0</c:formatCode>
                <c:ptCount val="6"/>
                <c:pt idx="0">
                  <c:v>168000</c:v>
                </c:pt>
                <c:pt idx="1">
                  <c:v>720000</c:v>
                </c:pt>
                <c:pt idx="2">
                  <c:v>187500</c:v>
                </c:pt>
                <c:pt idx="3">
                  <c:v>12000</c:v>
                </c:pt>
                <c:pt idx="4">
                  <c:v>12000</c:v>
                </c:pt>
                <c:pt idx="5">
                  <c:v>96000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13</xdr:col>
      <xdr:colOff>54000</xdr:colOff>
      <xdr:row>18</xdr:row>
      <xdr:rowOff>144000</xdr:rowOff>
    </xdr:to>
    <xdr:graphicFrame>
      <xdr:nvGraphicFramePr>
        <xdr:cNvPr id="0" name="Chart 1"/>
        <xdr:cNvGraphicFramePr/>
      </xdr:nvGraphicFramePr>
      <xdr:xfrm>
        <a:off x="8740080" y="76212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22</xdr:row>
      <xdr:rowOff>0</xdr:rowOff>
    </xdr:from>
    <xdr:to>
      <xdr:col>13</xdr:col>
      <xdr:colOff>54000</xdr:colOff>
      <xdr:row>37</xdr:row>
      <xdr:rowOff>144000</xdr:rowOff>
    </xdr:to>
    <xdr:graphicFrame>
      <xdr:nvGraphicFramePr>
        <xdr:cNvPr id="1" name="Chart 2"/>
        <xdr:cNvGraphicFramePr/>
      </xdr:nvGraphicFramePr>
      <xdr:xfrm>
        <a:off x="8740080" y="461952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41</xdr:row>
      <xdr:rowOff>0</xdr:rowOff>
    </xdr:from>
    <xdr:to>
      <xdr:col>13</xdr:col>
      <xdr:colOff>54000</xdr:colOff>
      <xdr:row>58</xdr:row>
      <xdr:rowOff>1080</xdr:rowOff>
    </xdr:to>
    <xdr:graphicFrame>
      <xdr:nvGraphicFramePr>
        <xdr:cNvPr id="2" name="Chart 3"/>
        <xdr:cNvGraphicFramePr/>
      </xdr:nvGraphicFramePr>
      <xdr:xfrm>
        <a:off x="8740080" y="84772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3</xdr:col>
      <xdr:colOff>246600</xdr:colOff>
      <xdr:row>28</xdr:row>
      <xdr:rowOff>22320</xdr:rowOff>
    </xdr:to>
    <xdr:graphicFrame>
      <xdr:nvGraphicFramePr>
        <xdr:cNvPr id="3" name="Chart 1"/>
        <xdr:cNvGraphicFramePr/>
      </xdr:nvGraphicFramePr>
      <xdr:xfrm>
        <a:off x="0" y="290520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20"/>
    <col collapsed="false" customWidth="true" hidden="false" outlineLevel="0" max="7" min="7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6" t="n">
        <v>10000</v>
      </c>
    </row>
    <row r="8" customFormat="false" ht="15" hidden="false" customHeight="false" outlineLevel="0" collapsed="false">
      <c r="A8" s="4" t="s">
        <v>8</v>
      </c>
      <c r="B8" s="6" t="n">
        <v>50</v>
      </c>
    </row>
    <row r="9" customFormat="false" ht="15" hidden="false" customHeight="false" outlineLevel="0" collapsed="false">
      <c r="A9" s="4" t="s">
        <v>9</v>
      </c>
      <c r="B9" s="7" t="s">
        <v>10</v>
      </c>
    </row>
    <row r="11" customFormat="false" ht="15" hidden="false" customHeight="false" outlineLevel="0" collapsed="false">
      <c r="A11" s="3" t="s">
        <v>11</v>
      </c>
      <c r="B11" s="3"/>
      <c r="C11" s="3"/>
      <c r="D11" s="3"/>
    </row>
    <row r="12" customFormat="false" ht="33.75" hidden="false" customHeight="true" outlineLevel="0" collapsed="false">
      <c r="A12" s="8" t="s">
        <v>12</v>
      </c>
      <c r="B12" s="8" t="s">
        <v>13</v>
      </c>
      <c r="C12" s="8" t="s">
        <v>14</v>
      </c>
      <c r="D12" s="8" t="s">
        <v>15</v>
      </c>
    </row>
    <row r="13" customFormat="false" ht="15" hidden="false" customHeight="false" outlineLevel="0" collapsed="false">
      <c r="A13" s="4" t="s">
        <v>16</v>
      </c>
      <c r="B13" s="9" t="n">
        <f aca="false">Material_Embodied_Carbon!G18</f>
        <v>2052745</v>
      </c>
      <c r="C13" s="10" t="n">
        <f aca="false">B13/$B$7</f>
        <v>205.2745</v>
      </c>
      <c r="D13" s="4" t="s">
        <v>17</v>
      </c>
    </row>
    <row r="14" customFormat="false" ht="15" hidden="false" customHeight="false" outlineLevel="0" collapsed="false">
      <c r="A14" s="4" t="s">
        <v>18</v>
      </c>
      <c r="B14" s="9" t="n">
        <f aca="false">Construction_Carbon!D18</f>
        <v>500000</v>
      </c>
      <c r="C14" s="10" t="n">
        <f aca="false">B14/$B$7</f>
        <v>50</v>
      </c>
      <c r="D14" s="4" t="s">
        <v>17</v>
      </c>
    </row>
    <row r="15" customFormat="false" ht="15" hidden="false" customHeight="false" outlineLevel="0" collapsed="false">
      <c r="A15" s="4" t="s">
        <v>19</v>
      </c>
      <c r="B15" s="9" t="n">
        <f aca="false">Transport_Carbon!I18</f>
        <v>337653.6</v>
      </c>
      <c r="C15" s="10" t="n">
        <f aca="false">B15/$B$7</f>
        <v>33.76536</v>
      </c>
      <c r="D15" s="4" t="s">
        <v>17</v>
      </c>
    </row>
    <row r="16" customFormat="false" ht="15" hidden="false" customHeight="false" outlineLevel="0" collapsed="false">
      <c r="A16" s="4" t="s">
        <v>20</v>
      </c>
      <c r="B16" s="9" t="n">
        <f aca="false">Use_Stage_Carbon!G14</f>
        <v>916000</v>
      </c>
      <c r="C16" s="10" t="n">
        <f aca="false">B16/$B$7</f>
        <v>91.6</v>
      </c>
      <c r="D16" s="4" t="s">
        <v>17</v>
      </c>
    </row>
    <row r="17" customFormat="false" ht="15" hidden="false" customHeight="false" outlineLevel="0" collapsed="false">
      <c r="A17" s="4" t="s">
        <v>21</v>
      </c>
      <c r="B17" s="9" t="n">
        <f aca="false">End_of_Life_Carbon!F13</f>
        <v>139000</v>
      </c>
      <c r="C17" s="10" t="n">
        <f aca="false">B17/$B$7</f>
        <v>13.9</v>
      </c>
      <c r="D17" s="4" t="s">
        <v>17</v>
      </c>
    </row>
    <row r="18" customFormat="false" ht="15" hidden="false" customHeight="false" outlineLevel="0" collapsed="false">
      <c r="A18" s="11" t="s">
        <v>22</v>
      </c>
      <c r="B18" s="12" t="n">
        <f aca="false">SUM(B13:B17)</f>
        <v>3945398.6</v>
      </c>
      <c r="C18" s="13" t="n">
        <f aca="false">B18/$B$7</f>
        <v>394.53986</v>
      </c>
      <c r="D18" s="11" t="s">
        <v>17</v>
      </c>
    </row>
    <row r="19" customFormat="false" ht="15" hidden="false" customHeight="false" outlineLevel="0" collapsed="false">
      <c r="A19" s="14" t="s">
        <v>23</v>
      </c>
      <c r="B19" s="15" t="n">
        <f aca="false">Beyond_Building_Life!E8</f>
        <v>-130000</v>
      </c>
      <c r="C19" s="16" t="n">
        <f aca="false">B19/$B$7</f>
        <v>-13</v>
      </c>
      <c r="D19" s="17" t="s">
        <v>24</v>
      </c>
    </row>
    <row r="21" customFormat="false" ht="15" hidden="false" customHeight="false" outlineLevel="0" collapsed="false">
      <c r="A21" s="4" t="s">
        <v>25</v>
      </c>
      <c r="B21" s="9" t="n">
        <f aca="false">Material_Embodied_Water!G18</f>
        <v>35680000</v>
      </c>
      <c r="C21" s="10" t="n">
        <f aca="false">B21/$B$7</f>
        <v>3568</v>
      </c>
      <c r="D21" s="4" t="s">
        <v>26</v>
      </c>
    </row>
    <row r="22" customFormat="false" ht="15" hidden="false" customHeight="false" outlineLevel="0" collapsed="false">
      <c r="A22" s="4" t="s">
        <v>27</v>
      </c>
      <c r="B22" s="9" t="n">
        <f aca="false">Construction_Water!D18</f>
        <v>865000</v>
      </c>
      <c r="C22" s="10" t="n">
        <f aca="false">B22/$B$7</f>
        <v>86.5</v>
      </c>
      <c r="D22" s="4" t="s">
        <v>26</v>
      </c>
    </row>
    <row r="23" customFormat="false" ht="15" hidden="false" customHeight="false" outlineLevel="0" collapsed="false">
      <c r="A23" s="4" t="s">
        <v>28</v>
      </c>
      <c r="B23" s="9" t="n">
        <f aca="false">Transport_Water!G18</f>
        <v>689376.1</v>
      </c>
      <c r="C23" s="10" t="n">
        <f aca="false">B23/$B$7</f>
        <v>68.93761</v>
      </c>
      <c r="D23" s="4" t="s">
        <v>26</v>
      </c>
    </row>
    <row r="24" customFormat="false" ht="15" hidden="false" customHeight="false" outlineLevel="0" collapsed="false">
      <c r="A24" s="11" t="s">
        <v>29</v>
      </c>
      <c r="B24" s="12" t="n">
        <f aca="false">SUM(B21:B23)</f>
        <v>37234376.1</v>
      </c>
      <c r="C24" s="13" t="n">
        <f aca="false">B24/$B$7</f>
        <v>3723.43761</v>
      </c>
      <c r="D24" s="11" t="s">
        <v>26</v>
      </c>
    </row>
    <row r="26" customFormat="false" ht="15" hidden="false" customHeight="false" outlineLevel="0" collapsed="false">
      <c r="A26" s="3" t="s">
        <v>30</v>
      </c>
      <c r="B26" s="3"/>
      <c r="C26" s="3"/>
      <c r="D26" s="3"/>
    </row>
    <row r="27" customFormat="false" ht="33.75" hidden="false" customHeight="true" outlineLevel="0" collapsed="false">
      <c r="A27" s="8" t="s">
        <v>12</v>
      </c>
      <c r="B27" s="8" t="s">
        <v>31</v>
      </c>
      <c r="C27" s="8" t="s">
        <v>32</v>
      </c>
      <c r="D27" s="8" t="s">
        <v>15</v>
      </c>
    </row>
    <row r="28" customFormat="false" ht="15" hidden="false" customHeight="false" outlineLevel="0" collapsed="false">
      <c r="A28" s="4" t="s">
        <v>33</v>
      </c>
      <c r="B28" s="9" t="n">
        <f aca="false">Material_Embodied_Energy!G18</f>
        <v>17747500</v>
      </c>
      <c r="C28" s="10" t="n">
        <f aca="false">B28/$B$7</f>
        <v>1774.75</v>
      </c>
      <c r="D28" s="4" t="s">
        <v>34</v>
      </c>
    </row>
    <row r="29" customFormat="false" ht="15" hidden="false" customHeight="false" outlineLevel="0" collapsed="false">
      <c r="A29" s="4" t="s">
        <v>35</v>
      </c>
      <c r="B29" s="9" t="n">
        <f aca="false">Transport_Energy!F18</f>
        <v>3798603</v>
      </c>
      <c r="C29" s="10" t="n">
        <f aca="false">B29/$B$7</f>
        <v>379.8603</v>
      </c>
      <c r="D29" s="4" t="s">
        <v>34</v>
      </c>
    </row>
    <row r="30" customFormat="false" ht="15" hidden="false" customHeight="false" outlineLevel="0" collapsed="false">
      <c r="A30" s="4" t="s">
        <v>36</v>
      </c>
      <c r="B30" s="9" t="n">
        <f aca="false">Construction_Energy!D18</f>
        <v>2710000</v>
      </c>
      <c r="C30" s="10" t="n">
        <f aca="false">B30/$B$7</f>
        <v>271</v>
      </c>
      <c r="D30" s="4" t="s">
        <v>34</v>
      </c>
    </row>
    <row r="31" customFormat="false" ht="15" hidden="false" customHeight="false" outlineLevel="0" collapsed="false">
      <c r="A31" s="4" t="s">
        <v>37</v>
      </c>
      <c r="B31" s="9" t="n">
        <f aca="false">Use_Stage_Energy!G14</f>
        <v>11750000</v>
      </c>
      <c r="C31" s="10" t="n">
        <f aca="false">B31/$B$7</f>
        <v>1175</v>
      </c>
      <c r="D31" s="4" t="s">
        <v>34</v>
      </c>
    </row>
    <row r="32" customFormat="false" ht="15" hidden="false" customHeight="false" outlineLevel="0" collapsed="false">
      <c r="A32" s="4" t="s">
        <v>38</v>
      </c>
      <c r="B32" s="9" t="n">
        <f aca="false">End_of_Life_Energy!F13</f>
        <v>1651250</v>
      </c>
      <c r="C32" s="10" t="n">
        <f aca="false">B32/$B$7</f>
        <v>165.125</v>
      </c>
      <c r="D32" s="4" t="s">
        <v>34</v>
      </c>
    </row>
    <row r="33" customFormat="false" ht="15" hidden="false" customHeight="false" outlineLevel="0" collapsed="false">
      <c r="A33" s="11" t="s">
        <v>39</v>
      </c>
      <c r="B33" s="12" t="n">
        <f aca="false">SUM(B28:B32)</f>
        <v>37657353</v>
      </c>
      <c r="C33" s="13" t="n">
        <f aca="false">B33/$B$7</f>
        <v>3765.7353</v>
      </c>
      <c r="D33" s="11" t="s">
        <v>34</v>
      </c>
    </row>
    <row r="34" customFormat="false" ht="15" hidden="false" customHeight="false" outlineLevel="0" collapsed="false">
      <c r="A34" s="14" t="s">
        <v>40</v>
      </c>
      <c r="B34" s="15" t="n">
        <f aca="false">Beyond_Building_Life_Energy!E8</f>
        <v>-1600000</v>
      </c>
      <c r="C34" s="16" t="n">
        <f aca="false">B34/$B$7</f>
        <v>-160</v>
      </c>
      <c r="D34" s="17" t="s">
        <v>24</v>
      </c>
    </row>
    <row r="36" customFormat="false" ht="15" hidden="false" customHeight="false" outlineLevel="0" collapsed="false">
      <c r="A36" s="18" t="s">
        <v>41</v>
      </c>
      <c r="B36" s="19" t="str">
        <f aca="false">$B$9&amp;" Method"</f>
        <v>EPI Method</v>
      </c>
    </row>
    <row r="37" customFormat="false" ht="15" hidden="false" customHeight="false" outlineLevel="0" collapsed="false">
      <c r="A37" s="11" t="s">
        <v>42</v>
      </c>
      <c r="B37" s="20" t="n">
        <f aca="false">IF($B$9="Detailed",Operational_Energy_Detailed!F11,Operational_Energy_EPI!D14)</f>
        <v>1500000</v>
      </c>
      <c r="C37" s="13" t="n">
        <f aca="false">B37/$B$7</f>
        <v>150</v>
      </c>
      <c r="D37" s="11" t="s">
        <v>43</v>
      </c>
    </row>
    <row r="39" customFormat="false" ht="15" hidden="false" customHeight="false" outlineLevel="0" collapsed="false">
      <c r="A39" s="3" t="s">
        <v>44</v>
      </c>
      <c r="B39" s="3"/>
      <c r="C39" s="3"/>
      <c r="D39" s="3"/>
    </row>
    <row r="40" customFormat="false" ht="15" hidden="false" customHeight="false" outlineLevel="0" collapsed="false">
      <c r="A40" s="4" t="s">
        <v>45</v>
      </c>
      <c r="B40" s="21" t="n">
        <f aca="false">B37*$B$8*3.6</f>
        <v>270000000</v>
      </c>
      <c r="D40" s="4" t="s">
        <v>46</v>
      </c>
    </row>
    <row r="41" customFormat="false" ht="15" hidden="false" customHeight="false" outlineLevel="0" collapsed="false">
      <c r="A41" s="11" t="s">
        <v>47</v>
      </c>
      <c r="B41" s="12" t="n">
        <f aca="false">B33+B40+B34</f>
        <v>306057353</v>
      </c>
      <c r="C41" s="22"/>
      <c r="D41" s="11" t="s">
        <v>34</v>
      </c>
    </row>
    <row r="42" customFormat="false" ht="15" hidden="false" customHeight="false" outlineLevel="0" collapsed="false">
      <c r="A42" s="18" t="s">
        <v>48</v>
      </c>
      <c r="B42" s="10" t="n">
        <f aca="false">B41/$B$7</f>
        <v>30605.7353</v>
      </c>
    </row>
    <row r="44" customFormat="false" ht="15" hidden="false" customHeight="false" outlineLevel="0" collapsed="false">
      <c r="A44" s="23" t="s">
        <v>49</v>
      </c>
      <c r="B44" s="23"/>
      <c r="C44" s="23"/>
      <c r="D44" s="23"/>
      <c r="E44" s="23"/>
      <c r="F44" s="23"/>
      <c r="G44" s="23"/>
    </row>
    <row r="45" customFormat="false" ht="15" hidden="false" customHeight="false" outlineLevel="0" collapsed="false">
      <c r="A45" s="23" t="s">
        <v>50</v>
      </c>
      <c r="B45" s="23"/>
      <c r="C45" s="23"/>
      <c r="D45" s="23"/>
      <c r="E45" s="23"/>
      <c r="F45" s="23"/>
      <c r="G45" s="23"/>
    </row>
  </sheetData>
  <mergeCells count="8">
    <mergeCell ref="A1:G1"/>
    <mergeCell ref="A2:G2"/>
    <mergeCell ref="A4:C4"/>
    <mergeCell ref="A11:D11"/>
    <mergeCell ref="A26:D26"/>
    <mergeCell ref="A39:D39"/>
    <mergeCell ref="A44:G44"/>
    <mergeCell ref="A45:G45"/>
  </mergeCells>
  <dataValidations count="1">
    <dataValidation allowBlank="false" errorStyle="stop" operator="between" showDropDown="false" showErrorMessage="false" showInputMessage="false" sqref="B9" type="list">
      <formula1>"Detailed,EPI"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4" min="3" style="0" width="16"/>
    <col collapsed="false" customWidth="true" hidden="false" outlineLevel="0" max="5" min="5" style="0" width="20"/>
    <col collapsed="false" customWidth="true" hidden="false" outlineLevel="0" max="6" min="6" style="0" width="34"/>
    <col collapsed="false" customWidth="true" hidden="false" outlineLevel="0" max="7" min="7" style="0" width="20"/>
  </cols>
  <sheetData>
    <row r="1" customFormat="false" ht="30" hidden="false" customHeight="true" outlineLevel="0" collapsed="false">
      <c r="A1" s="24" t="s">
        <v>51</v>
      </c>
      <c r="B1" s="24"/>
      <c r="C1" s="24"/>
      <c r="D1" s="24"/>
      <c r="E1" s="24"/>
      <c r="F1" s="24"/>
      <c r="G1" s="24"/>
    </row>
    <row r="2" customFormat="false" ht="15" hidden="false" customHeight="false" outlineLevel="0" collapsed="false">
      <c r="A2" s="2" t="s">
        <v>52</v>
      </c>
      <c r="B2" s="2"/>
      <c r="C2" s="2"/>
      <c r="D2" s="2"/>
      <c r="E2" s="2"/>
      <c r="F2" s="2"/>
      <c r="G2" s="2"/>
    </row>
    <row r="3" customFormat="false" ht="33.75" hidden="false" customHeight="true" outlineLevel="0" collapsed="false">
      <c r="A3" s="25" t="s">
        <v>53</v>
      </c>
      <c r="B3" s="25" t="s">
        <v>54</v>
      </c>
      <c r="C3" s="25" t="s">
        <v>55</v>
      </c>
      <c r="D3" s="25" t="s">
        <v>56</v>
      </c>
      <c r="E3" s="25" t="s">
        <v>57</v>
      </c>
      <c r="F3" s="25" t="s">
        <v>58</v>
      </c>
      <c r="G3" s="25" t="s">
        <v>59</v>
      </c>
    </row>
    <row r="4" customFormat="false" ht="15" hidden="false" customHeight="false" outlineLevel="0" collapsed="false">
      <c r="A4" s="4" t="s">
        <v>60</v>
      </c>
      <c r="B4" s="26" t="s">
        <v>61</v>
      </c>
      <c r="C4" s="27" t="n">
        <v>50</v>
      </c>
      <c r="D4" s="21" t="n">
        <f aca="false">C4*Dashboard!$B$7</f>
        <v>500000</v>
      </c>
      <c r="E4" s="27" t="n">
        <v>0.83</v>
      </c>
      <c r="F4" s="4" t="s">
        <v>62</v>
      </c>
      <c r="G4" s="21" t="n">
        <f aca="false">D4*E4</f>
        <v>415000</v>
      </c>
    </row>
    <row r="5" customFormat="false" ht="15" hidden="false" customHeight="false" outlineLevel="0" collapsed="false">
      <c r="A5" s="4" t="s">
        <v>63</v>
      </c>
      <c r="B5" s="26" t="s">
        <v>61</v>
      </c>
      <c r="C5" s="27" t="n">
        <v>20</v>
      </c>
      <c r="D5" s="21" t="n">
        <f aca="false">C5*Dashboard!$B$7</f>
        <v>200000</v>
      </c>
      <c r="E5" s="27" t="n">
        <v>0.67</v>
      </c>
      <c r="F5" s="4" t="s">
        <v>64</v>
      </c>
      <c r="G5" s="21" t="n">
        <f aca="false">D5*E5</f>
        <v>134000</v>
      </c>
    </row>
    <row r="6" customFormat="false" ht="15" hidden="false" customHeight="false" outlineLevel="0" collapsed="false">
      <c r="A6" s="4" t="s">
        <v>65</v>
      </c>
      <c r="B6" s="26" t="s">
        <v>61</v>
      </c>
      <c r="C6" s="27" t="n">
        <v>8</v>
      </c>
      <c r="D6" s="21" t="n">
        <f aca="false">C6*Dashboard!$B$7</f>
        <v>80000</v>
      </c>
      <c r="E6" s="27" t="n">
        <v>2.5</v>
      </c>
      <c r="F6" s="4" t="s">
        <v>66</v>
      </c>
      <c r="G6" s="21" t="n">
        <f aca="false">D6*E6</f>
        <v>200000</v>
      </c>
    </row>
    <row r="7" customFormat="false" ht="15" hidden="false" customHeight="false" outlineLevel="0" collapsed="false">
      <c r="A7" s="4" t="s">
        <v>67</v>
      </c>
      <c r="B7" s="26" t="s">
        <v>68</v>
      </c>
      <c r="C7" s="27" t="n">
        <v>0.15</v>
      </c>
      <c r="D7" s="21" t="n">
        <f aca="false">C7*Dashboard!$B$7</f>
        <v>1500</v>
      </c>
      <c r="E7" s="27" t="n">
        <v>300</v>
      </c>
      <c r="F7" s="4" t="s">
        <v>69</v>
      </c>
      <c r="G7" s="21" t="n">
        <f aca="false">D7*E7</f>
        <v>450000</v>
      </c>
    </row>
    <row r="8" customFormat="false" ht="15" hidden="false" customHeight="false" outlineLevel="0" collapsed="false">
      <c r="A8" s="4" t="s">
        <v>70</v>
      </c>
      <c r="B8" s="26" t="s">
        <v>71</v>
      </c>
      <c r="C8" s="27" t="n">
        <v>45</v>
      </c>
      <c r="D8" s="21" t="n">
        <f aca="false">C8*Dashboard!$B$7</f>
        <v>450000</v>
      </c>
      <c r="E8" s="27" t="n">
        <v>0.28</v>
      </c>
      <c r="F8" s="4" t="s">
        <v>72</v>
      </c>
      <c r="G8" s="21" t="n">
        <f aca="false">D8*E8</f>
        <v>126000</v>
      </c>
    </row>
    <row r="9" customFormat="false" ht="15" hidden="false" customHeight="false" outlineLevel="0" collapsed="false">
      <c r="A9" s="4" t="s">
        <v>73</v>
      </c>
      <c r="B9" s="26" t="s">
        <v>71</v>
      </c>
      <c r="C9" s="27" t="n">
        <v>10</v>
      </c>
      <c r="D9" s="21" t="n">
        <f aca="false">C9*Dashboard!$B$7</f>
        <v>100000</v>
      </c>
      <c r="E9" s="27" t="n">
        <v>0.35</v>
      </c>
      <c r="F9" s="4" t="s">
        <v>74</v>
      </c>
      <c r="G9" s="21" t="n">
        <f aca="false">D9*E9</f>
        <v>35000</v>
      </c>
    </row>
    <row r="10" customFormat="false" ht="15" hidden="false" customHeight="false" outlineLevel="0" collapsed="false">
      <c r="A10" s="4" t="s">
        <v>75</v>
      </c>
      <c r="B10" s="26" t="s">
        <v>68</v>
      </c>
      <c r="C10" s="27" t="n">
        <v>0.05</v>
      </c>
      <c r="D10" s="21" t="n">
        <f aca="false">C10*Dashboard!$B$7</f>
        <v>500</v>
      </c>
      <c r="E10" s="27" t="n">
        <v>165</v>
      </c>
      <c r="F10" s="4" t="s">
        <v>76</v>
      </c>
      <c r="G10" s="21" t="n">
        <f aca="false">D10*E10</f>
        <v>82500</v>
      </c>
    </row>
    <row r="11" customFormat="false" ht="15" hidden="false" customHeight="false" outlineLevel="0" collapsed="false">
      <c r="A11" s="4" t="s">
        <v>77</v>
      </c>
      <c r="B11" s="26" t="s">
        <v>78</v>
      </c>
      <c r="C11" s="27" t="n">
        <v>0.3</v>
      </c>
      <c r="D11" s="21" t="n">
        <f aca="false">C11*Dashboard!$B$7</f>
        <v>3000</v>
      </c>
      <c r="E11" s="27" t="n">
        <v>27</v>
      </c>
      <c r="F11" s="4" t="s">
        <v>79</v>
      </c>
      <c r="G11" s="21" t="n">
        <f aca="false">D11*E11</f>
        <v>81000</v>
      </c>
    </row>
    <row r="12" customFormat="false" ht="15" hidden="false" customHeight="false" outlineLevel="0" collapsed="false">
      <c r="A12" s="4" t="s">
        <v>80</v>
      </c>
      <c r="B12" s="26" t="s">
        <v>61</v>
      </c>
      <c r="C12" s="27" t="n">
        <v>2</v>
      </c>
      <c r="D12" s="21" t="n">
        <f aca="false">C12*Dashboard!$B$7</f>
        <v>20000</v>
      </c>
      <c r="E12" s="27" t="n">
        <v>6.4</v>
      </c>
      <c r="F12" s="4" t="s">
        <v>81</v>
      </c>
      <c r="G12" s="21" t="n">
        <f aca="false">D12*E12</f>
        <v>128000</v>
      </c>
    </row>
    <row r="13" customFormat="false" ht="15" hidden="false" customHeight="false" outlineLevel="0" collapsed="false">
      <c r="A13" s="4" t="s">
        <v>82</v>
      </c>
      <c r="B13" s="26" t="s">
        <v>68</v>
      </c>
      <c r="C13" s="27" t="n">
        <v>0.01</v>
      </c>
      <c r="D13" s="21" t="n">
        <f aca="false">C13*Dashboard!$B$7</f>
        <v>100</v>
      </c>
      <c r="E13" s="27" t="n">
        <v>250</v>
      </c>
      <c r="F13" s="4" t="s">
        <v>83</v>
      </c>
      <c r="G13" s="21" t="n">
        <f aca="false">D13*E13</f>
        <v>25000</v>
      </c>
    </row>
    <row r="14" customFormat="false" ht="15" hidden="false" customHeight="false" outlineLevel="0" collapsed="false">
      <c r="A14" s="4" t="s">
        <v>84</v>
      </c>
      <c r="B14" s="26" t="s">
        <v>78</v>
      </c>
      <c r="C14" s="27" t="n">
        <v>1.2</v>
      </c>
      <c r="D14" s="21" t="n">
        <f aca="false">C14*Dashboard!$B$7</f>
        <v>12000</v>
      </c>
      <c r="E14" s="27" t="n">
        <v>12</v>
      </c>
      <c r="F14" s="4" t="s">
        <v>85</v>
      </c>
      <c r="G14" s="21" t="n">
        <f aca="false">D14*E14</f>
        <v>144000</v>
      </c>
    </row>
    <row r="15" customFormat="false" ht="15" hidden="false" customHeight="false" outlineLevel="0" collapsed="false">
      <c r="A15" s="4" t="s">
        <v>86</v>
      </c>
      <c r="B15" s="26" t="s">
        <v>87</v>
      </c>
      <c r="C15" s="27" t="n">
        <v>0.15</v>
      </c>
      <c r="D15" s="21" t="n">
        <f aca="false">C15*Dashboard!$B$7</f>
        <v>1500</v>
      </c>
      <c r="E15" s="27" t="n">
        <v>2.83</v>
      </c>
      <c r="F15" s="4" t="s">
        <v>88</v>
      </c>
      <c r="G15" s="21" t="n">
        <f aca="false">D15*E15</f>
        <v>4245</v>
      </c>
    </row>
    <row r="16" customFormat="false" ht="15" hidden="false" customHeight="false" outlineLevel="0" collapsed="false">
      <c r="A16" s="4" t="s">
        <v>89</v>
      </c>
      <c r="B16" s="26" t="s">
        <v>78</v>
      </c>
      <c r="C16" s="27" t="n">
        <v>0.1</v>
      </c>
      <c r="D16" s="21" t="n">
        <f aca="false">C16*Dashboard!$B$7</f>
        <v>1000</v>
      </c>
      <c r="E16" s="27" t="n">
        <v>3</v>
      </c>
      <c r="F16" s="4" t="s">
        <v>90</v>
      </c>
      <c r="G16" s="21" t="n">
        <f aca="false">D16*E16</f>
        <v>3000</v>
      </c>
    </row>
    <row r="17" customFormat="false" ht="15" hidden="false" customHeight="false" outlineLevel="0" collapsed="false">
      <c r="A17" s="4" t="s">
        <v>91</v>
      </c>
      <c r="B17" s="26" t="s">
        <v>61</v>
      </c>
      <c r="C17" s="27" t="n">
        <v>30</v>
      </c>
      <c r="D17" s="21" t="n">
        <f aca="false">C17*Dashboard!$B$7</f>
        <v>300000</v>
      </c>
      <c r="E17" s="27" t="n">
        <v>0.75</v>
      </c>
      <c r="F17" s="4" t="s">
        <v>92</v>
      </c>
      <c r="G17" s="21" t="n">
        <f aca="false">D17*E17</f>
        <v>225000</v>
      </c>
    </row>
    <row r="18" customFormat="false" ht="15" hidden="false" customHeight="false" outlineLevel="0" collapsed="false">
      <c r="A18" s="11" t="s">
        <v>93</v>
      </c>
      <c r="B18" s="28"/>
      <c r="C18" s="28"/>
      <c r="D18" s="12" t="n">
        <f aca="false">SUM(D4:D17)</f>
        <v>1669600</v>
      </c>
      <c r="E18" s="28"/>
      <c r="F18" s="28"/>
      <c r="G18" s="12" t="n">
        <f aca="false">SUM(G4:G17)</f>
        <v>2052745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4" min="3" style="0" width="16"/>
    <col collapsed="false" customWidth="true" hidden="false" outlineLevel="0" max="5" min="5" style="0" width="20"/>
    <col collapsed="false" customWidth="true" hidden="false" outlineLevel="0" max="6" min="6" style="0" width="34"/>
    <col collapsed="false" customWidth="true" hidden="false" outlineLevel="0" max="7" min="7" style="0" width="20"/>
  </cols>
  <sheetData>
    <row r="1" customFormat="false" ht="30" hidden="false" customHeight="true" outlineLevel="0" collapsed="false">
      <c r="A1" s="29" t="s">
        <v>94</v>
      </c>
      <c r="B1" s="29"/>
      <c r="C1" s="29"/>
      <c r="D1" s="29"/>
      <c r="E1" s="29"/>
      <c r="F1" s="29"/>
      <c r="G1" s="29"/>
    </row>
    <row r="2" customFormat="false" ht="15" hidden="false" customHeight="false" outlineLevel="0" collapsed="false">
      <c r="A2" s="2" t="s">
        <v>95</v>
      </c>
      <c r="B2" s="2"/>
      <c r="C2" s="2"/>
      <c r="D2" s="2"/>
      <c r="E2" s="2"/>
      <c r="F2" s="2"/>
      <c r="G2" s="2"/>
    </row>
    <row r="3" customFormat="false" ht="33.75" hidden="false" customHeight="true" outlineLevel="0" collapsed="false">
      <c r="A3" s="30" t="s">
        <v>96</v>
      </c>
      <c r="B3" s="30" t="s">
        <v>97</v>
      </c>
      <c r="C3" s="30" t="s">
        <v>98</v>
      </c>
      <c r="D3" s="30" t="s">
        <v>99</v>
      </c>
      <c r="E3" s="30" t="s">
        <v>100</v>
      </c>
      <c r="F3" s="30" t="s">
        <v>58</v>
      </c>
      <c r="G3" s="30" t="s">
        <v>101</v>
      </c>
    </row>
    <row r="4" customFormat="false" ht="15" hidden="false" customHeight="false" outlineLevel="0" collapsed="false">
      <c r="A4" s="31" t="str">
        <f aca="false">Material_Embodied_Carbon!A4</f>
        <v>Cement (OPC 43/53 Grade)</v>
      </c>
      <c r="B4" s="32" t="str">
        <f aca="false">Material_Embodied_Carbon!B4</f>
        <v>kg</v>
      </c>
      <c r="C4" s="33" t="n">
        <f aca="false">Material_Embodied_Carbon!C4</f>
        <v>50</v>
      </c>
      <c r="D4" s="9" t="n">
        <f aca="false">Material_Embodied_Carbon!D4</f>
        <v>500000</v>
      </c>
      <c r="E4" s="27" t="n">
        <v>1.5</v>
      </c>
      <c r="F4" s="4" t="s">
        <v>102</v>
      </c>
      <c r="G4" s="21" t="n">
        <f aca="false">D4*E4</f>
        <v>750000</v>
      </c>
    </row>
    <row r="5" customFormat="false" ht="15" hidden="false" customHeight="false" outlineLevel="0" collapsed="false">
      <c r="A5" s="31" t="str">
        <f aca="false">Material_Embodied_Carbon!A5</f>
        <v>Cement (PPC / Blended)</v>
      </c>
      <c r="B5" s="32" t="str">
        <f aca="false">Material_Embodied_Carbon!B5</f>
        <v>kg</v>
      </c>
      <c r="C5" s="33" t="n">
        <f aca="false">Material_Embodied_Carbon!C5</f>
        <v>20</v>
      </c>
      <c r="D5" s="9" t="n">
        <f aca="false">Material_Embodied_Carbon!D5</f>
        <v>200000</v>
      </c>
      <c r="E5" s="27" t="n">
        <v>1.2</v>
      </c>
      <c r="F5" s="4" t="s">
        <v>102</v>
      </c>
      <c r="G5" s="21" t="n">
        <f aca="false">D5*E5</f>
        <v>240000</v>
      </c>
    </row>
    <row r="6" customFormat="false" ht="15" hidden="false" customHeight="false" outlineLevel="0" collapsed="false">
      <c r="A6" s="31" t="str">
        <f aca="false">Material_Embodied_Carbon!A6</f>
        <v>TMT Steel Rebar</v>
      </c>
      <c r="B6" s="32" t="str">
        <f aca="false">Material_Embodied_Carbon!B6</f>
        <v>kg</v>
      </c>
      <c r="C6" s="33" t="n">
        <f aca="false">Material_Embodied_Carbon!C6</f>
        <v>8</v>
      </c>
      <c r="D6" s="9" t="n">
        <f aca="false">Material_Embodied_Carbon!D6</f>
        <v>80000</v>
      </c>
      <c r="E6" s="27" t="n">
        <v>18</v>
      </c>
      <c r="F6" s="4" t="s">
        <v>103</v>
      </c>
      <c r="G6" s="21" t="n">
        <f aca="false">D6*E6</f>
        <v>1440000</v>
      </c>
    </row>
    <row r="7" customFormat="false" ht="15" hidden="false" customHeight="false" outlineLevel="0" collapsed="false">
      <c r="A7" s="31" t="str">
        <f aca="false">Material_Embodied_Carbon!A7</f>
        <v>Ready-Mix Concrete M25</v>
      </c>
      <c r="B7" s="32" t="str">
        <f aca="false">Material_Embodied_Carbon!B7</f>
        <v>m3</v>
      </c>
      <c r="C7" s="33" t="n">
        <f aca="false">Material_Embodied_Carbon!C7</f>
        <v>0.15</v>
      </c>
      <c r="D7" s="9" t="n">
        <f aca="false">Material_Embodied_Carbon!D7</f>
        <v>1500</v>
      </c>
      <c r="E7" s="27" t="n">
        <v>250</v>
      </c>
      <c r="F7" s="4" t="s">
        <v>104</v>
      </c>
      <c r="G7" s="21" t="n">
        <f aca="false">D7*E7</f>
        <v>375000</v>
      </c>
    </row>
    <row r="8" customFormat="false" ht="15" hidden="false" customHeight="false" outlineLevel="0" collapsed="false">
      <c r="A8" s="31" t="str">
        <f aca="false">Material_Embodied_Carbon!A8</f>
        <v>Fly Ash Brick</v>
      </c>
      <c r="B8" s="32" t="str">
        <f aca="false">Material_Embodied_Carbon!B8</f>
        <v>no.</v>
      </c>
      <c r="C8" s="33" t="n">
        <f aca="false">Material_Embodied_Carbon!C8</f>
        <v>45</v>
      </c>
      <c r="D8" s="9" t="n">
        <f aca="false">Material_Embodied_Carbon!D8</f>
        <v>450000</v>
      </c>
      <c r="E8" s="27" t="n">
        <v>3</v>
      </c>
      <c r="F8" s="4" t="s">
        <v>105</v>
      </c>
      <c r="G8" s="21" t="n">
        <f aca="false">D8*E8</f>
        <v>1350000</v>
      </c>
    </row>
    <row r="9" customFormat="false" ht="15" hidden="false" customHeight="false" outlineLevel="0" collapsed="false">
      <c r="A9" s="31" t="str">
        <f aca="false">Material_Embodied_Carbon!A9</f>
        <v>Clay Brick (fired)</v>
      </c>
      <c r="B9" s="32" t="str">
        <f aca="false">Material_Embodied_Carbon!B9</f>
        <v>no.</v>
      </c>
      <c r="C9" s="33" t="n">
        <f aca="false">Material_Embodied_Carbon!C9</f>
        <v>10</v>
      </c>
      <c r="D9" s="9" t="n">
        <f aca="false">Material_Embodied_Carbon!D9</f>
        <v>100000</v>
      </c>
      <c r="E9" s="27" t="n">
        <v>5</v>
      </c>
      <c r="F9" s="4" t="s">
        <v>106</v>
      </c>
      <c r="G9" s="21" t="n">
        <f aca="false">D9*E9</f>
        <v>500000</v>
      </c>
    </row>
    <row r="10" customFormat="false" ht="15" hidden="false" customHeight="false" outlineLevel="0" collapsed="false">
      <c r="A10" s="31" t="str">
        <f aca="false">Material_Embodied_Carbon!A10</f>
        <v>AAC Block</v>
      </c>
      <c r="B10" s="32" t="str">
        <f aca="false">Material_Embodied_Carbon!B10</f>
        <v>m3</v>
      </c>
      <c r="C10" s="33" t="n">
        <f aca="false">Material_Embodied_Carbon!C10</f>
        <v>0.05</v>
      </c>
      <c r="D10" s="9" t="n">
        <f aca="false">Material_Embodied_Carbon!D10</f>
        <v>500</v>
      </c>
      <c r="E10" s="27" t="n">
        <v>120</v>
      </c>
      <c r="F10" s="4" t="s">
        <v>76</v>
      </c>
      <c r="G10" s="21" t="n">
        <f aca="false">D10*E10</f>
        <v>60000</v>
      </c>
    </row>
    <row r="11" customFormat="false" ht="15" hidden="false" customHeight="false" outlineLevel="0" collapsed="false">
      <c r="A11" s="31" t="str">
        <f aca="false">Material_Embodied_Carbon!A11</f>
        <v>Float Glass</v>
      </c>
      <c r="B11" s="32" t="str">
        <f aca="false">Material_Embodied_Carbon!B11</f>
        <v>m2</v>
      </c>
      <c r="C11" s="33" t="n">
        <f aca="false">Material_Embodied_Carbon!C11</f>
        <v>0.3</v>
      </c>
      <c r="D11" s="9" t="n">
        <f aca="false">Material_Embodied_Carbon!D11</f>
        <v>3000</v>
      </c>
      <c r="E11" s="27" t="n">
        <v>25</v>
      </c>
      <c r="F11" s="4" t="s">
        <v>107</v>
      </c>
      <c r="G11" s="21" t="n">
        <f aca="false">D11*E11</f>
        <v>75000</v>
      </c>
    </row>
    <row r="12" customFormat="false" ht="15" hidden="false" customHeight="false" outlineLevel="0" collapsed="false">
      <c r="A12" s="31" t="str">
        <f aca="false">Material_Embodied_Carbon!A12</f>
        <v>Aluminium (avg. 33% recycled)</v>
      </c>
      <c r="B12" s="32" t="str">
        <f aca="false">Material_Embodied_Carbon!B12</f>
        <v>kg</v>
      </c>
      <c r="C12" s="33" t="n">
        <f aca="false">Material_Embodied_Carbon!C12</f>
        <v>2</v>
      </c>
      <c r="D12" s="9" t="n">
        <f aca="false">Material_Embodied_Carbon!D12</f>
        <v>20000</v>
      </c>
      <c r="E12" s="27" t="n">
        <v>1500</v>
      </c>
      <c r="F12" s="4" t="s">
        <v>108</v>
      </c>
      <c r="G12" s="21" t="n">
        <f aca="false">D12*E12</f>
        <v>30000000</v>
      </c>
    </row>
    <row r="13" customFormat="false" ht="15" hidden="false" customHeight="false" outlineLevel="0" collapsed="false">
      <c r="A13" s="31" t="str">
        <f aca="false">Material_Embodied_Carbon!A13</f>
        <v>Timber (sawn softwood)</v>
      </c>
      <c r="B13" s="32" t="str">
        <f aca="false">Material_Embodied_Carbon!B13</f>
        <v>m3</v>
      </c>
      <c r="C13" s="33" t="n">
        <f aca="false">Material_Embodied_Carbon!C13</f>
        <v>0.01</v>
      </c>
      <c r="D13" s="9" t="n">
        <f aca="false">Material_Embodied_Carbon!D13</f>
        <v>100</v>
      </c>
      <c r="E13" s="27" t="n">
        <v>300</v>
      </c>
      <c r="F13" s="4" t="s">
        <v>109</v>
      </c>
      <c r="G13" s="21" t="n">
        <f aca="false">D13*E13</f>
        <v>30000</v>
      </c>
    </row>
    <row r="14" customFormat="false" ht="15" hidden="false" customHeight="false" outlineLevel="0" collapsed="false">
      <c r="A14" s="31" t="str">
        <f aca="false">Material_Embodied_Carbon!A14</f>
        <v>Ceramic Tiles</v>
      </c>
      <c r="B14" s="32" t="str">
        <f aca="false">Material_Embodied_Carbon!B14</f>
        <v>m2</v>
      </c>
      <c r="C14" s="33" t="n">
        <f aca="false">Material_Embodied_Carbon!C14</f>
        <v>1.2</v>
      </c>
      <c r="D14" s="9" t="n">
        <f aca="false">Material_Embodied_Carbon!D14</f>
        <v>12000</v>
      </c>
      <c r="E14" s="27" t="n">
        <v>40</v>
      </c>
      <c r="F14" s="4" t="s">
        <v>110</v>
      </c>
      <c r="G14" s="21" t="n">
        <f aca="false">D14*E14</f>
        <v>480000</v>
      </c>
    </row>
    <row r="15" customFormat="false" ht="15" hidden="false" customHeight="false" outlineLevel="0" collapsed="false">
      <c r="A15" s="31" t="str">
        <f aca="false">Material_Embodied_Carbon!A15</f>
        <v>Paint (water-based emulsion)</v>
      </c>
      <c r="B15" s="32" t="str">
        <f aca="false">Material_Embodied_Carbon!B15</f>
        <v>litre</v>
      </c>
      <c r="C15" s="33" t="n">
        <f aca="false">Material_Embodied_Carbon!C15</f>
        <v>0.15</v>
      </c>
      <c r="D15" s="9" t="n">
        <f aca="false">Material_Embodied_Carbon!D15</f>
        <v>1500</v>
      </c>
      <c r="E15" s="27" t="n">
        <v>10</v>
      </c>
      <c r="F15" s="4" t="s">
        <v>111</v>
      </c>
      <c r="G15" s="21" t="n">
        <f aca="false">D15*E15</f>
        <v>15000</v>
      </c>
    </row>
    <row r="16" customFormat="false" ht="15" hidden="false" customHeight="false" outlineLevel="0" collapsed="false">
      <c r="A16" s="31" t="str">
        <f aca="false">Material_Embodied_Carbon!A16</f>
        <v>XPS/EPS Insulation Board</v>
      </c>
      <c r="B16" s="32" t="str">
        <f aca="false">Material_Embodied_Carbon!B16</f>
        <v>m2</v>
      </c>
      <c r="C16" s="33" t="n">
        <f aca="false">Material_Embodied_Carbon!C16</f>
        <v>0.1</v>
      </c>
      <c r="D16" s="9" t="n">
        <f aca="false">Material_Embodied_Carbon!D16</f>
        <v>1000</v>
      </c>
      <c r="E16" s="27" t="n">
        <v>5</v>
      </c>
      <c r="F16" s="4" t="s">
        <v>112</v>
      </c>
      <c r="G16" s="21" t="n">
        <f aca="false">D16*E16</f>
        <v>5000</v>
      </c>
    </row>
    <row r="17" customFormat="false" ht="15" hidden="false" customHeight="false" outlineLevel="0" collapsed="false">
      <c r="A17" s="31" t="str">
        <f aca="false">Material_Embodied_Carbon!A17</f>
        <v>Cement Plaster/Mortar (1:4)</v>
      </c>
      <c r="B17" s="32" t="str">
        <f aca="false">Material_Embodied_Carbon!B17</f>
        <v>kg</v>
      </c>
      <c r="C17" s="33" t="n">
        <f aca="false">Material_Embodied_Carbon!C17</f>
        <v>30</v>
      </c>
      <c r="D17" s="9" t="n">
        <f aca="false">Material_Embodied_Carbon!D17</f>
        <v>300000</v>
      </c>
      <c r="E17" s="27" t="n">
        <v>1.2</v>
      </c>
      <c r="F17" s="4" t="s">
        <v>113</v>
      </c>
      <c r="G17" s="21" t="n">
        <f aca="false">D17*E17</f>
        <v>360000</v>
      </c>
    </row>
    <row r="18" customFormat="false" ht="15" hidden="false" customHeight="false" outlineLevel="0" collapsed="false">
      <c r="A18" s="11" t="s">
        <v>93</v>
      </c>
      <c r="B18" s="28"/>
      <c r="C18" s="28"/>
      <c r="D18" s="28"/>
      <c r="E18" s="28"/>
      <c r="F18" s="28"/>
      <c r="G18" s="12" t="n">
        <f aca="false">SUM(G4:G17)</f>
        <v>35680000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22"/>
  </cols>
  <sheetData>
    <row r="1" customFormat="false" ht="30" hidden="false" customHeight="true" outlineLevel="0" collapsed="false">
      <c r="A1" s="24" t="s">
        <v>114</v>
      </c>
      <c r="B1" s="24"/>
      <c r="C1" s="24"/>
      <c r="D1" s="24"/>
    </row>
    <row r="2" customFormat="false" ht="15" hidden="false" customHeight="false" outlineLevel="0" collapsed="false">
      <c r="A2" s="2" t="s">
        <v>115</v>
      </c>
      <c r="B2" s="2"/>
      <c r="C2" s="2"/>
      <c r="D2" s="2"/>
    </row>
    <row r="3" customFormat="false" ht="33.75" hidden="false" customHeight="true" outlineLevel="0" collapsed="false">
      <c r="A3" s="25" t="s">
        <v>116</v>
      </c>
      <c r="B3" s="25" t="s">
        <v>117</v>
      </c>
      <c r="C3" s="25" t="s">
        <v>118</v>
      </c>
      <c r="D3" s="25" t="s">
        <v>119</v>
      </c>
    </row>
    <row r="4" customFormat="false" ht="15" hidden="false" customHeight="false" outlineLevel="0" collapsed="false">
      <c r="A4" s="4" t="s">
        <v>120</v>
      </c>
      <c r="B4" s="27" t="n">
        <v>8</v>
      </c>
      <c r="C4" s="34" t="n">
        <f aca="false">Dashboard!$B$7</f>
        <v>10000</v>
      </c>
      <c r="D4" s="21" t="n">
        <f aca="false">B4*C4</f>
        <v>80000</v>
      </c>
    </row>
    <row r="5" customFormat="false" ht="15" hidden="false" customHeight="false" outlineLevel="0" collapsed="false">
      <c r="A5" s="4" t="s">
        <v>121</v>
      </c>
      <c r="B5" s="27" t="n">
        <v>3</v>
      </c>
      <c r="C5" s="34" t="n">
        <f aca="false">Dashboard!$B$7</f>
        <v>10000</v>
      </c>
      <c r="D5" s="21" t="n">
        <f aca="false">B5*C5</f>
        <v>30000</v>
      </c>
    </row>
    <row r="6" customFormat="false" ht="15" hidden="false" customHeight="false" outlineLevel="0" collapsed="false">
      <c r="A6" s="4" t="s">
        <v>122</v>
      </c>
      <c r="B6" s="27" t="n">
        <v>10</v>
      </c>
      <c r="C6" s="34" t="n">
        <f aca="false">Dashboard!$B$7</f>
        <v>10000</v>
      </c>
      <c r="D6" s="21" t="n">
        <f aca="false">B6*C6</f>
        <v>100000</v>
      </c>
    </row>
    <row r="7" customFormat="false" ht="15" hidden="false" customHeight="false" outlineLevel="0" collapsed="false">
      <c r="A7" s="4" t="s">
        <v>123</v>
      </c>
      <c r="B7" s="27" t="n">
        <v>2</v>
      </c>
      <c r="C7" s="34" t="n">
        <f aca="false">Dashboard!$B$7</f>
        <v>10000</v>
      </c>
      <c r="D7" s="21" t="n">
        <f aca="false">B7*C7</f>
        <v>20000</v>
      </c>
    </row>
    <row r="8" customFormat="false" ht="15" hidden="false" customHeight="false" outlineLevel="0" collapsed="false">
      <c r="A8" s="4" t="s">
        <v>124</v>
      </c>
      <c r="B8" s="27" t="n">
        <v>4</v>
      </c>
      <c r="C8" s="34" t="n">
        <f aca="false">Dashboard!$B$7</f>
        <v>10000</v>
      </c>
      <c r="D8" s="21" t="n">
        <f aca="false">B8*C8</f>
        <v>40000</v>
      </c>
    </row>
    <row r="9" customFormat="false" ht="15" hidden="false" customHeight="false" outlineLevel="0" collapsed="false">
      <c r="A9" s="4" t="s">
        <v>125</v>
      </c>
      <c r="B9" s="27" t="n">
        <v>2</v>
      </c>
      <c r="C9" s="34" t="n">
        <f aca="false">Dashboard!$B$7</f>
        <v>10000</v>
      </c>
      <c r="D9" s="21" t="n">
        <f aca="false">B9*C9</f>
        <v>20000</v>
      </c>
    </row>
    <row r="10" customFormat="false" ht="15" hidden="false" customHeight="false" outlineLevel="0" collapsed="false">
      <c r="A10" s="4" t="s">
        <v>126</v>
      </c>
      <c r="B10" s="27" t="n">
        <v>3</v>
      </c>
      <c r="C10" s="34" t="n">
        <f aca="false">Dashboard!$B$7</f>
        <v>10000</v>
      </c>
      <c r="D10" s="21" t="n">
        <f aca="false">B10*C10</f>
        <v>30000</v>
      </c>
    </row>
    <row r="11" customFormat="false" ht="15" hidden="false" customHeight="false" outlineLevel="0" collapsed="false">
      <c r="A11" s="4" t="s">
        <v>127</v>
      </c>
      <c r="B11" s="27" t="n">
        <v>6</v>
      </c>
      <c r="C11" s="34" t="n">
        <f aca="false">Dashboard!$B$7</f>
        <v>10000</v>
      </c>
      <c r="D11" s="21" t="n">
        <f aca="false">B11*C11</f>
        <v>60000</v>
      </c>
    </row>
    <row r="12" customFormat="false" ht="15" hidden="false" customHeight="false" outlineLevel="0" collapsed="false">
      <c r="A12" s="4" t="s">
        <v>128</v>
      </c>
      <c r="B12" s="27" t="n">
        <v>1.5</v>
      </c>
      <c r="C12" s="34" t="n">
        <f aca="false">Dashboard!$B$7</f>
        <v>10000</v>
      </c>
      <c r="D12" s="21" t="n">
        <f aca="false">B12*C12</f>
        <v>15000</v>
      </c>
    </row>
    <row r="13" customFormat="false" ht="15" hidden="false" customHeight="false" outlineLevel="0" collapsed="false">
      <c r="A13" s="4" t="s">
        <v>129</v>
      </c>
      <c r="B13" s="27" t="n">
        <v>2.5</v>
      </c>
      <c r="C13" s="34" t="n">
        <f aca="false">Dashboard!$B$7</f>
        <v>10000</v>
      </c>
      <c r="D13" s="21" t="n">
        <f aca="false">B13*C13</f>
        <v>25000</v>
      </c>
    </row>
    <row r="14" customFormat="false" ht="15" hidden="false" customHeight="false" outlineLevel="0" collapsed="false">
      <c r="A14" s="4" t="s">
        <v>130</v>
      </c>
      <c r="B14" s="27" t="n">
        <v>1.5</v>
      </c>
      <c r="C14" s="34" t="n">
        <f aca="false">Dashboard!$B$7</f>
        <v>10000</v>
      </c>
      <c r="D14" s="21" t="n">
        <f aca="false">B14*C14</f>
        <v>15000</v>
      </c>
    </row>
    <row r="15" customFormat="false" ht="15" hidden="false" customHeight="false" outlineLevel="0" collapsed="false">
      <c r="A15" s="4" t="s">
        <v>131</v>
      </c>
      <c r="B15" s="27" t="n">
        <v>3</v>
      </c>
      <c r="C15" s="34" t="n">
        <f aca="false">Dashboard!$B$7</f>
        <v>10000</v>
      </c>
      <c r="D15" s="21" t="n">
        <f aca="false">B15*C15</f>
        <v>30000</v>
      </c>
    </row>
    <row r="16" customFormat="false" ht="15" hidden="false" customHeight="false" outlineLevel="0" collapsed="false">
      <c r="A16" s="4" t="s">
        <v>132</v>
      </c>
      <c r="B16" s="27" t="n">
        <v>2.5</v>
      </c>
      <c r="C16" s="34" t="n">
        <f aca="false">Dashboard!$B$7</f>
        <v>10000</v>
      </c>
      <c r="D16" s="21" t="n">
        <f aca="false">B16*C16</f>
        <v>25000</v>
      </c>
    </row>
    <row r="17" customFormat="false" ht="15" hidden="false" customHeight="false" outlineLevel="0" collapsed="false">
      <c r="A17" s="4" t="s">
        <v>133</v>
      </c>
      <c r="B17" s="27" t="n">
        <v>1</v>
      </c>
      <c r="C17" s="34" t="n">
        <f aca="false">Dashboard!$B$7</f>
        <v>10000</v>
      </c>
      <c r="D17" s="21" t="n">
        <f aca="false">B17*C17</f>
        <v>10000</v>
      </c>
    </row>
    <row r="18" customFormat="false" ht="15" hidden="false" customHeight="false" outlineLevel="0" collapsed="false">
      <c r="A18" s="11" t="s">
        <v>93</v>
      </c>
      <c r="B18" s="13" t="n">
        <f aca="false">SUM(B4:B17)</f>
        <v>50</v>
      </c>
      <c r="C18" s="22"/>
      <c r="D18" s="12" t="n">
        <f aca="false">SUM(D4:D17)</f>
        <v>500000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22"/>
  </cols>
  <sheetData>
    <row r="1" customFormat="false" ht="30" hidden="false" customHeight="true" outlineLevel="0" collapsed="false">
      <c r="A1" s="29" t="s">
        <v>134</v>
      </c>
      <c r="B1" s="29"/>
      <c r="C1" s="29"/>
      <c r="D1" s="29"/>
    </row>
    <row r="2" customFormat="false" ht="15" hidden="false" customHeight="false" outlineLevel="0" collapsed="false">
      <c r="A2" s="2" t="s">
        <v>135</v>
      </c>
      <c r="B2" s="2"/>
      <c r="C2" s="2"/>
      <c r="D2" s="2"/>
    </row>
    <row r="3" customFormat="false" ht="33.75" hidden="false" customHeight="true" outlineLevel="0" collapsed="false">
      <c r="A3" s="30" t="s">
        <v>116</v>
      </c>
      <c r="B3" s="30" t="s">
        <v>136</v>
      </c>
      <c r="C3" s="30" t="s">
        <v>118</v>
      </c>
      <c r="D3" s="30" t="s">
        <v>137</v>
      </c>
    </row>
    <row r="4" customFormat="false" ht="15" hidden="false" customHeight="false" outlineLevel="0" collapsed="false">
      <c r="A4" s="4" t="s">
        <v>138</v>
      </c>
      <c r="B4" s="27" t="n">
        <v>25</v>
      </c>
      <c r="C4" s="34" t="n">
        <f aca="false">Dashboard!$B$7</f>
        <v>10000</v>
      </c>
      <c r="D4" s="21" t="n">
        <f aca="false">B4*C4</f>
        <v>250000</v>
      </c>
    </row>
    <row r="5" customFormat="false" ht="15" hidden="false" customHeight="false" outlineLevel="0" collapsed="false">
      <c r="A5" s="4" t="s">
        <v>139</v>
      </c>
      <c r="B5" s="27" t="n">
        <v>8</v>
      </c>
      <c r="C5" s="34" t="n">
        <f aca="false">Dashboard!$B$7</f>
        <v>10000</v>
      </c>
      <c r="D5" s="21" t="n">
        <f aca="false">B5*C5</f>
        <v>80000</v>
      </c>
    </row>
    <row r="6" customFormat="false" ht="15" hidden="false" customHeight="false" outlineLevel="0" collapsed="false">
      <c r="A6" s="4" t="s">
        <v>140</v>
      </c>
      <c r="B6" s="27" t="n">
        <v>5</v>
      </c>
      <c r="C6" s="34" t="n">
        <f aca="false">Dashboard!$B$7</f>
        <v>10000</v>
      </c>
      <c r="D6" s="21" t="n">
        <f aca="false">B6*C6</f>
        <v>50000</v>
      </c>
    </row>
    <row r="7" customFormat="false" ht="15" hidden="false" customHeight="false" outlineLevel="0" collapsed="false">
      <c r="A7" s="4" t="s">
        <v>141</v>
      </c>
      <c r="B7" s="27" t="n">
        <v>12</v>
      </c>
      <c r="C7" s="34" t="n">
        <f aca="false">Dashboard!$B$7</f>
        <v>10000</v>
      </c>
      <c r="D7" s="21" t="n">
        <f aca="false">B7*C7</f>
        <v>120000</v>
      </c>
    </row>
    <row r="8" customFormat="false" ht="15" hidden="false" customHeight="false" outlineLevel="0" collapsed="false">
      <c r="A8" s="4" t="s">
        <v>142</v>
      </c>
      <c r="B8" s="27" t="n">
        <v>4</v>
      </c>
      <c r="C8" s="34" t="n">
        <f aca="false">Dashboard!$B$7</f>
        <v>10000</v>
      </c>
      <c r="D8" s="21" t="n">
        <f aca="false">B8*C8</f>
        <v>40000</v>
      </c>
    </row>
    <row r="9" customFormat="false" ht="15" hidden="false" customHeight="false" outlineLevel="0" collapsed="false">
      <c r="A9" s="4" t="s">
        <v>143</v>
      </c>
      <c r="B9" s="27" t="n">
        <v>10</v>
      </c>
      <c r="C9" s="34" t="n">
        <f aca="false">Dashboard!$B$7</f>
        <v>10000</v>
      </c>
      <c r="D9" s="21" t="n">
        <f aca="false">B9*C9</f>
        <v>100000</v>
      </c>
    </row>
    <row r="10" customFormat="false" ht="15" hidden="false" customHeight="false" outlineLevel="0" collapsed="false">
      <c r="A10" s="4" t="s">
        <v>144</v>
      </c>
      <c r="B10" s="27" t="n">
        <v>8</v>
      </c>
      <c r="C10" s="34" t="n">
        <f aca="false">Dashboard!$B$7</f>
        <v>10000</v>
      </c>
      <c r="D10" s="21" t="n">
        <f aca="false">B10*C10</f>
        <v>80000</v>
      </c>
    </row>
    <row r="11" customFormat="false" ht="15" hidden="false" customHeight="false" outlineLevel="0" collapsed="false">
      <c r="A11" s="4" t="s">
        <v>145</v>
      </c>
      <c r="B11" s="27" t="n">
        <v>1.5</v>
      </c>
      <c r="C11" s="34" t="n">
        <f aca="false">Dashboard!$B$7</f>
        <v>10000</v>
      </c>
      <c r="D11" s="21" t="n">
        <f aca="false">B11*C11</f>
        <v>15000</v>
      </c>
    </row>
    <row r="12" customFormat="false" ht="15" hidden="false" customHeight="false" outlineLevel="0" collapsed="false">
      <c r="A12" s="4" t="s">
        <v>146</v>
      </c>
      <c r="B12" s="27" t="n">
        <v>3</v>
      </c>
      <c r="C12" s="34" t="n">
        <f aca="false">Dashboard!$B$7</f>
        <v>10000</v>
      </c>
      <c r="D12" s="21" t="n">
        <f aca="false">B12*C12</f>
        <v>30000</v>
      </c>
    </row>
    <row r="13" customFormat="false" ht="15" hidden="false" customHeight="false" outlineLevel="0" collapsed="false">
      <c r="A13" s="4" t="s">
        <v>147</v>
      </c>
      <c r="B13" s="27" t="n">
        <v>2</v>
      </c>
      <c r="C13" s="34" t="n">
        <f aca="false">Dashboard!$B$7</f>
        <v>10000</v>
      </c>
      <c r="D13" s="21" t="n">
        <f aca="false">B13*C13</f>
        <v>20000</v>
      </c>
    </row>
    <row r="14" customFormat="false" ht="15" hidden="false" customHeight="false" outlineLevel="0" collapsed="false">
      <c r="A14" s="4" t="s">
        <v>148</v>
      </c>
      <c r="B14" s="27" t="n">
        <v>2</v>
      </c>
      <c r="C14" s="34" t="n">
        <f aca="false">Dashboard!$B$7</f>
        <v>10000</v>
      </c>
      <c r="D14" s="21" t="n">
        <f aca="false">B14*C14</f>
        <v>20000</v>
      </c>
    </row>
    <row r="15" customFormat="false" ht="15" hidden="false" customHeight="false" outlineLevel="0" collapsed="false">
      <c r="A15" s="4" t="s">
        <v>149</v>
      </c>
      <c r="B15" s="27" t="n">
        <v>1.5</v>
      </c>
      <c r="C15" s="34" t="n">
        <f aca="false">Dashboard!$B$7</f>
        <v>10000</v>
      </c>
      <c r="D15" s="21" t="n">
        <f aca="false">B15*C15</f>
        <v>15000</v>
      </c>
    </row>
    <row r="16" customFormat="false" ht="15" hidden="false" customHeight="false" outlineLevel="0" collapsed="false">
      <c r="A16" s="4" t="s">
        <v>150</v>
      </c>
      <c r="B16" s="27" t="n">
        <v>2.5</v>
      </c>
      <c r="C16" s="34" t="n">
        <f aca="false">Dashboard!$B$7</f>
        <v>10000</v>
      </c>
      <c r="D16" s="21" t="n">
        <f aca="false">B16*C16</f>
        <v>25000</v>
      </c>
    </row>
    <row r="17" customFormat="false" ht="15" hidden="false" customHeight="false" outlineLevel="0" collapsed="false">
      <c r="A17" s="4" t="s">
        <v>151</v>
      </c>
      <c r="B17" s="27" t="n">
        <v>2</v>
      </c>
      <c r="C17" s="34" t="n">
        <f aca="false">Dashboard!$B$7</f>
        <v>10000</v>
      </c>
      <c r="D17" s="21" t="n">
        <f aca="false">B17*C17</f>
        <v>20000</v>
      </c>
    </row>
    <row r="18" customFormat="false" ht="15" hidden="false" customHeight="false" outlineLevel="0" collapsed="false">
      <c r="A18" s="11" t="s">
        <v>93</v>
      </c>
      <c r="B18" s="13" t="n">
        <f aca="false">SUM(B4:B17)</f>
        <v>86.5</v>
      </c>
      <c r="C18" s="22"/>
      <c r="D18" s="12" t="n">
        <f aca="false">SUM(D4:D17)</f>
        <v>865000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20"/>
  </cols>
  <sheetData>
    <row r="1" customFormat="false" ht="30" hidden="false" customHeight="true" outlineLevel="0" collapsed="false">
      <c r="A1" s="24" t="s">
        <v>152</v>
      </c>
      <c r="B1" s="24"/>
      <c r="C1" s="24"/>
      <c r="D1" s="24"/>
      <c r="E1" s="24"/>
      <c r="F1" s="24"/>
      <c r="G1" s="24"/>
      <c r="H1" s="24"/>
      <c r="I1" s="24"/>
    </row>
    <row r="2" customFormat="false" ht="15" hidden="false" customHeight="false" outlineLevel="0" collapsed="false">
      <c r="A2" s="2" t="s">
        <v>153</v>
      </c>
      <c r="B2" s="2"/>
      <c r="C2" s="2"/>
      <c r="D2" s="2"/>
      <c r="E2" s="2"/>
      <c r="F2" s="2"/>
      <c r="G2" s="2"/>
      <c r="H2" s="2"/>
      <c r="I2" s="2"/>
    </row>
    <row r="3" customFormat="false" ht="33.75" hidden="false" customHeight="true" outlineLevel="0" collapsed="false">
      <c r="A3" s="25" t="s">
        <v>96</v>
      </c>
      <c r="B3" s="25" t="s">
        <v>99</v>
      </c>
      <c r="C3" s="25" t="s">
        <v>97</v>
      </c>
      <c r="D3" s="25" t="s">
        <v>154</v>
      </c>
      <c r="E3" s="25" t="s">
        <v>155</v>
      </c>
      <c r="F3" s="25" t="s">
        <v>156</v>
      </c>
      <c r="G3" s="25" t="s">
        <v>157</v>
      </c>
      <c r="H3" s="25" t="s">
        <v>158</v>
      </c>
      <c r="I3" s="25" t="s">
        <v>159</v>
      </c>
    </row>
    <row r="4" customFormat="false" ht="15" hidden="false" customHeight="false" outlineLevel="0" collapsed="false">
      <c r="A4" s="31" t="str">
        <f aca="false">Material_Embodied_Carbon!A4</f>
        <v>Cement (OPC 43/53 Grade)</v>
      </c>
      <c r="B4" s="9" t="n">
        <f aca="false">Material_Embodied_Carbon!D4</f>
        <v>500000</v>
      </c>
      <c r="C4" s="32" t="str">
        <f aca="false">Material_Embodied_Carbon!B4</f>
        <v>kg</v>
      </c>
      <c r="D4" s="27" t="n">
        <v>1</v>
      </c>
      <c r="E4" s="35" t="n">
        <f aca="false">B4*D4/1000</f>
        <v>500</v>
      </c>
      <c r="F4" s="7" t="s">
        <v>160</v>
      </c>
      <c r="G4" s="6" t="n">
        <v>400</v>
      </c>
      <c r="H4" s="36" t="n">
        <v>0.12</v>
      </c>
      <c r="I4" s="21" t="n">
        <f aca="false">E4*G4*H4</f>
        <v>24000</v>
      </c>
    </row>
    <row r="5" customFormat="false" ht="15" hidden="false" customHeight="false" outlineLevel="0" collapsed="false">
      <c r="A5" s="31" t="str">
        <f aca="false">Material_Embodied_Carbon!A5</f>
        <v>Cement (PPC / Blended)</v>
      </c>
      <c r="B5" s="9" t="n">
        <f aca="false">Material_Embodied_Carbon!D5</f>
        <v>200000</v>
      </c>
      <c r="C5" s="32" t="str">
        <f aca="false">Material_Embodied_Carbon!B5</f>
        <v>kg</v>
      </c>
      <c r="D5" s="27" t="n">
        <v>1</v>
      </c>
      <c r="E5" s="35" t="n">
        <f aca="false">B5*D5/1000</f>
        <v>200</v>
      </c>
      <c r="F5" s="7" t="s">
        <v>160</v>
      </c>
      <c r="G5" s="6" t="n">
        <v>400</v>
      </c>
      <c r="H5" s="36" t="n">
        <v>0.12</v>
      </c>
      <c r="I5" s="21" t="n">
        <f aca="false">E5*G5*H5</f>
        <v>9600</v>
      </c>
    </row>
    <row r="6" customFormat="false" ht="15" hidden="false" customHeight="false" outlineLevel="0" collapsed="false">
      <c r="A6" s="31" t="str">
        <f aca="false">Material_Embodied_Carbon!A6</f>
        <v>TMT Steel Rebar</v>
      </c>
      <c r="B6" s="9" t="n">
        <f aca="false">Material_Embodied_Carbon!D6</f>
        <v>80000</v>
      </c>
      <c r="C6" s="32" t="str">
        <f aca="false">Material_Embodied_Carbon!B6</f>
        <v>kg</v>
      </c>
      <c r="D6" s="27" t="n">
        <v>1</v>
      </c>
      <c r="E6" s="35" t="n">
        <f aca="false">B6*D6/1000</f>
        <v>80</v>
      </c>
      <c r="F6" s="7" t="s">
        <v>160</v>
      </c>
      <c r="G6" s="6" t="n">
        <v>400</v>
      </c>
      <c r="H6" s="36" t="n">
        <v>0.12</v>
      </c>
      <c r="I6" s="21" t="n">
        <f aca="false">E6*G6*H6</f>
        <v>3840</v>
      </c>
    </row>
    <row r="7" customFormat="false" ht="15" hidden="false" customHeight="false" outlineLevel="0" collapsed="false">
      <c r="A7" s="31" t="str">
        <f aca="false">Material_Embodied_Carbon!A7</f>
        <v>Ready-Mix Concrete M25</v>
      </c>
      <c r="B7" s="9" t="n">
        <f aca="false">Material_Embodied_Carbon!D7</f>
        <v>1500</v>
      </c>
      <c r="C7" s="32" t="str">
        <f aca="false">Material_Embodied_Carbon!B7</f>
        <v>m3</v>
      </c>
      <c r="D7" s="27" t="n">
        <v>2400</v>
      </c>
      <c r="E7" s="35" t="n">
        <f aca="false">B7*D7/1000</f>
        <v>3600</v>
      </c>
      <c r="F7" s="7" t="s">
        <v>160</v>
      </c>
      <c r="G7" s="6" t="n">
        <v>400</v>
      </c>
      <c r="H7" s="36" t="n">
        <v>0.12</v>
      </c>
      <c r="I7" s="21" t="n">
        <f aca="false">E7*G7*H7</f>
        <v>172800</v>
      </c>
    </row>
    <row r="8" customFormat="false" ht="15" hidden="false" customHeight="false" outlineLevel="0" collapsed="false">
      <c r="A8" s="31" t="str">
        <f aca="false">Material_Embodied_Carbon!A8</f>
        <v>Fly Ash Brick</v>
      </c>
      <c r="B8" s="9" t="n">
        <f aca="false">Material_Embodied_Carbon!D8</f>
        <v>450000</v>
      </c>
      <c r="C8" s="32" t="str">
        <f aca="false">Material_Embodied_Carbon!B8</f>
        <v>no.</v>
      </c>
      <c r="D8" s="27" t="n">
        <v>3.2</v>
      </c>
      <c r="E8" s="35" t="n">
        <f aca="false">B8*D8/1000</f>
        <v>1440</v>
      </c>
      <c r="F8" s="7" t="s">
        <v>160</v>
      </c>
      <c r="G8" s="6" t="n">
        <v>400</v>
      </c>
      <c r="H8" s="36" t="n">
        <v>0.12</v>
      </c>
      <c r="I8" s="21" t="n">
        <f aca="false">E8*G8*H8</f>
        <v>69120</v>
      </c>
    </row>
    <row r="9" customFormat="false" ht="15" hidden="false" customHeight="false" outlineLevel="0" collapsed="false">
      <c r="A9" s="31" t="str">
        <f aca="false">Material_Embodied_Carbon!A9</f>
        <v>Clay Brick (fired)</v>
      </c>
      <c r="B9" s="9" t="n">
        <f aca="false">Material_Embodied_Carbon!D9</f>
        <v>100000</v>
      </c>
      <c r="C9" s="32" t="str">
        <f aca="false">Material_Embodied_Carbon!B9</f>
        <v>no.</v>
      </c>
      <c r="D9" s="27" t="n">
        <v>3</v>
      </c>
      <c r="E9" s="35" t="n">
        <f aca="false">B9*D9/1000</f>
        <v>300</v>
      </c>
      <c r="F9" s="7" t="s">
        <v>160</v>
      </c>
      <c r="G9" s="6" t="n">
        <v>400</v>
      </c>
      <c r="H9" s="36" t="n">
        <v>0.12</v>
      </c>
      <c r="I9" s="21" t="n">
        <f aca="false">E9*G9*H9</f>
        <v>14400</v>
      </c>
    </row>
    <row r="10" customFormat="false" ht="15" hidden="false" customHeight="false" outlineLevel="0" collapsed="false">
      <c r="A10" s="31" t="str">
        <f aca="false">Material_Embodied_Carbon!A10</f>
        <v>AAC Block</v>
      </c>
      <c r="B10" s="9" t="n">
        <f aca="false">Material_Embodied_Carbon!D10</f>
        <v>500</v>
      </c>
      <c r="C10" s="32" t="str">
        <f aca="false">Material_Embodied_Carbon!B10</f>
        <v>m3</v>
      </c>
      <c r="D10" s="27" t="n">
        <v>550</v>
      </c>
      <c r="E10" s="35" t="n">
        <f aca="false">B10*D10/1000</f>
        <v>275</v>
      </c>
      <c r="F10" s="7" t="s">
        <v>160</v>
      </c>
      <c r="G10" s="6" t="n">
        <v>400</v>
      </c>
      <c r="H10" s="36" t="n">
        <v>0.12</v>
      </c>
      <c r="I10" s="21" t="n">
        <f aca="false">E10*G10*H10</f>
        <v>13200</v>
      </c>
    </row>
    <row r="11" customFormat="false" ht="15" hidden="false" customHeight="false" outlineLevel="0" collapsed="false">
      <c r="A11" s="31" t="str">
        <f aca="false">Material_Embodied_Carbon!A11</f>
        <v>Float Glass</v>
      </c>
      <c r="B11" s="9" t="n">
        <f aca="false">Material_Embodied_Carbon!D11</f>
        <v>3000</v>
      </c>
      <c r="C11" s="32" t="str">
        <f aca="false">Material_Embodied_Carbon!B11</f>
        <v>m2</v>
      </c>
      <c r="D11" s="27" t="n">
        <v>15</v>
      </c>
      <c r="E11" s="35" t="n">
        <f aca="false">B11*D11/1000</f>
        <v>45</v>
      </c>
      <c r="F11" s="7" t="s">
        <v>160</v>
      </c>
      <c r="G11" s="6" t="n">
        <v>400</v>
      </c>
      <c r="H11" s="36" t="n">
        <v>0.12</v>
      </c>
      <c r="I11" s="21" t="n">
        <f aca="false">E11*G11*H11</f>
        <v>2160</v>
      </c>
    </row>
    <row r="12" customFormat="false" ht="15" hidden="false" customHeight="false" outlineLevel="0" collapsed="false">
      <c r="A12" s="31" t="str">
        <f aca="false">Material_Embodied_Carbon!A12</f>
        <v>Aluminium (avg. 33% recycled)</v>
      </c>
      <c r="B12" s="9" t="n">
        <f aca="false">Material_Embodied_Carbon!D12</f>
        <v>20000</v>
      </c>
      <c r="C12" s="32" t="str">
        <f aca="false">Material_Embodied_Carbon!B12</f>
        <v>kg</v>
      </c>
      <c r="D12" s="27" t="n">
        <v>1</v>
      </c>
      <c r="E12" s="35" t="n">
        <f aca="false">B12*D12/1000</f>
        <v>20</v>
      </c>
      <c r="F12" s="7" t="s">
        <v>160</v>
      </c>
      <c r="G12" s="6" t="n">
        <v>400</v>
      </c>
      <c r="H12" s="36" t="n">
        <v>0.12</v>
      </c>
      <c r="I12" s="21" t="n">
        <f aca="false">E12*G12*H12</f>
        <v>960</v>
      </c>
    </row>
    <row r="13" customFormat="false" ht="15" hidden="false" customHeight="false" outlineLevel="0" collapsed="false">
      <c r="A13" s="31" t="str">
        <f aca="false">Material_Embodied_Carbon!A13</f>
        <v>Timber (sawn softwood)</v>
      </c>
      <c r="B13" s="9" t="n">
        <f aca="false">Material_Embodied_Carbon!D13</f>
        <v>100</v>
      </c>
      <c r="C13" s="32" t="str">
        <f aca="false">Material_Embodied_Carbon!B13</f>
        <v>m3</v>
      </c>
      <c r="D13" s="27" t="n">
        <v>550</v>
      </c>
      <c r="E13" s="35" t="n">
        <f aca="false">B13*D13/1000</f>
        <v>55</v>
      </c>
      <c r="F13" s="7" t="s">
        <v>160</v>
      </c>
      <c r="G13" s="6" t="n">
        <v>400</v>
      </c>
      <c r="H13" s="36" t="n">
        <v>0.12</v>
      </c>
      <c r="I13" s="21" t="n">
        <f aca="false">E13*G13*H13</f>
        <v>2640</v>
      </c>
    </row>
    <row r="14" customFormat="false" ht="15" hidden="false" customHeight="false" outlineLevel="0" collapsed="false">
      <c r="A14" s="31" t="str">
        <f aca="false">Material_Embodied_Carbon!A14</f>
        <v>Ceramic Tiles</v>
      </c>
      <c r="B14" s="9" t="n">
        <f aca="false">Material_Embodied_Carbon!D14</f>
        <v>12000</v>
      </c>
      <c r="C14" s="32" t="str">
        <f aca="false">Material_Embodied_Carbon!B14</f>
        <v>m2</v>
      </c>
      <c r="D14" s="27" t="n">
        <v>18</v>
      </c>
      <c r="E14" s="35" t="n">
        <f aca="false">B14*D14/1000</f>
        <v>216</v>
      </c>
      <c r="F14" s="7" t="s">
        <v>160</v>
      </c>
      <c r="G14" s="6" t="n">
        <v>400</v>
      </c>
      <c r="H14" s="36" t="n">
        <v>0.12</v>
      </c>
      <c r="I14" s="21" t="n">
        <f aca="false">E14*G14*H14</f>
        <v>10368</v>
      </c>
    </row>
    <row r="15" customFormat="false" ht="15" hidden="false" customHeight="false" outlineLevel="0" collapsed="false">
      <c r="A15" s="31" t="str">
        <f aca="false">Material_Embodied_Carbon!A15</f>
        <v>Paint (water-based emulsion)</v>
      </c>
      <c r="B15" s="9" t="n">
        <f aca="false">Material_Embodied_Carbon!D15</f>
        <v>1500</v>
      </c>
      <c r="C15" s="32" t="str">
        <f aca="false">Material_Embodied_Carbon!B15</f>
        <v>litre</v>
      </c>
      <c r="D15" s="27" t="n">
        <v>1.3</v>
      </c>
      <c r="E15" s="35" t="n">
        <f aca="false">B15*D15/1000</f>
        <v>1.95</v>
      </c>
      <c r="F15" s="7" t="s">
        <v>160</v>
      </c>
      <c r="G15" s="6" t="n">
        <v>400</v>
      </c>
      <c r="H15" s="36" t="n">
        <v>0.12</v>
      </c>
      <c r="I15" s="21" t="n">
        <f aca="false">E15*G15*H15</f>
        <v>93.6</v>
      </c>
    </row>
    <row r="16" customFormat="false" ht="15" hidden="false" customHeight="false" outlineLevel="0" collapsed="false">
      <c r="A16" s="31" t="str">
        <f aca="false">Material_Embodied_Carbon!A16</f>
        <v>XPS/EPS Insulation Board</v>
      </c>
      <c r="B16" s="9" t="n">
        <f aca="false">Material_Embodied_Carbon!D16</f>
        <v>1000</v>
      </c>
      <c r="C16" s="32" t="str">
        <f aca="false">Material_Embodied_Carbon!B16</f>
        <v>m2</v>
      </c>
      <c r="D16" s="27" t="n">
        <v>1.5</v>
      </c>
      <c r="E16" s="35" t="n">
        <f aca="false">B16*D16/1000</f>
        <v>1.5</v>
      </c>
      <c r="F16" s="7" t="s">
        <v>160</v>
      </c>
      <c r="G16" s="6" t="n">
        <v>400</v>
      </c>
      <c r="H16" s="36" t="n">
        <v>0.12</v>
      </c>
      <c r="I16" s="21" t="n">
        <f aca="false">E16*G16*H16</f>
        <v>72</v>
      </c>
    </row>
    <row r="17" customFormat="false" ht="15" hidden="false" customHeight="false" outlineLevel="0" collapsed="false">
      <c r="A17" s="31" t="str">
        <f aca="false">Material_Embodied_Carbon!A17</f>
        <v>Cement Plaster/Mortar (1:4)</v>
      </c>
      <c r="B17" s="9" t="n">
        <f aca="false">Material_Embodied_Carbon!D17</f>
        <v>300000</v>
      </c>
      <c r="C17" s="32" t="str">
        <f aca="false">Material_Embodied_Carbon!B17</f>
        <v>kg</v>
      </c>
      <c r="D17" s="27" t="n">
        <v>1</v>
      </c>
      <c r="E17" s="35" t="n">
        <f aca="false">B17*D17/1000</f>
        <v>300</v>
      </c>
      <c r="F17" s="7" t="s">
        <v>160</v>
      </c>
      <c r="G17" s="6" t="n">
        <v>400</v>
      </c>
      <c r="H17" s="36" t="n">
        <v>0.12</v>
      </c>
      <c r="I17" s="21" t="n">
        <f aca="false">E17*G17*H17</f>
        <v>14400</v>
      </c>
    </row>
    <row r="18" customFormat="false" ht="15" hidden="false" customHeight="false" outlineLevel="0" collapsed="false">
      <c r="A18" s="11" t="s">
        <v>93</v>
      </c>
      <c r="B18" s="28"/>
      <c r="C18" s="28"/>
      <c r="D18" s="28"/>
      <c r="E18" s="28"/>
      <c r="F18" s="28"/>
      <c r="G18" s="28"/>
      <c r="H18" s="28"/>
      <c r="I18" s="12" t="n">
        <f aca="false">SUM(I4:I17)</f>
        <v>337653.6</v>
      </c>
    </row>
    <row r="20" customFormat="false" ht="15" hidden="false" customHeight="false" outlineLevel="0" collapsed="false">
      <c r="A20" s="23" t="s">
        <v>161</v>
      </c>
      <c r="B20" s="23"/>
      <c r="C20" s="23"/>
      <c r="D20" s="23"/>
      <c r="E20" s="23"/>
      <c r="F20" s="23"/>
      <c r="G20" s="23"/>
      <c r="H20" s="23"/>
      <c r="I20" s="23"/>
    </row>
  </sheetData>
  <mergeCells count="3">
    <mergeCell ref="A1:I1"/>
    <mergeCell ref="A2:I2"/>
    <mergeCell ref="A20:I20"/>
  </mergeCells>
  <dataValidations count="1">
    <dataValidation allowBlank="false" errorStyle="stop" operator="between" showDropDown="false" showErrorMessage="false" showInputMessage="false" sqref="F4:F17" type="list">
      <formula1>"Truck,Rail"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20"/>
  </cols>
  <sheetData>
    <row r="1" customFormat="false" ht="30" hidden="false" customHeight="true" outlineLevel="0" collapsed="false">
      <c r="A1" s="29" t="s">
        <v>162</v>
      </c>
      <c r="B1" s="29"/>
      <c r="C1" s="29"/>
      <c r="D1" s="29"/>
      <c r="E1" s="29"/>
      <c r="F1" s="29"/>
      <c r="G1" s="29"/>
    </row>
    <row r="2" customFormat="false" ht="15" hidden="false" customHeight="false" outlineLevel="0" collapsed="false">
      <c r="A2" s="2" t="s">
        <v>163</v>
      </c>
      <c r="B2" s="2"/>
      <c r="C2" s="2"/>
      <c r="D2" s="2"/>
      <c r="E2" s="2"/>
      <c r="F2" s="2"/>
      <c r="G2" s="2"/>
    </row>
    <row r="3" customFormat="false" ht="33.75" hidden="false" customHeight="true" outlineLevel="0" collapsed="false">
      <c r="A3" s="30" t="s">
        <v>96</v>
      </c>
      <c r="B3" s="30" t="s">
        <v>164</v>
      </c>
      <c r="C3" s="30" t="s">
        <v>165</v>
      </c>
      <c r="D3" s="30" t="s">
        <v>166</v>
      </c>
      <c r="E3" s="30" t="s">
        <v>167</v>
      </c>
      <c r="F3" s="30" t="s">
        <v>168</v>
      </c>
      <c r="G3" s="30" t="s">
        <v>169</v>
      </c>
    </row>
    <row r="4" customFormat="false" ht="15" hidden="false" customHeight="false" outlineLevel="0" collapsed="false">
      <c r="A4" s="31" t="str">
        <f aca="false">Transport_Carbon!A4</f>
        <v>Cement (OPC 43/53 Grade)</v>
      </c>
      <c r="B4" s="37" t="n">
        <f aca="false">Transport_Carbon!E4</f>
        <v>500</v>
      </c>
      <c r="C4" s="34" t="n">
        <f aca="false">Transport_Carbon!G4</f>
        <v>400</v>
      </c>
      <c r="D4" s="36" t="n">
        <v>0.035</v>
      </c>
      <c r="E4" s="21" t="n">
        <f aca="false">B4*C4*D4</f>
        <v>7000</v>
      </c>
      <c r="F4" s="38" t="n">
        <v>7</v>
      </c>
      <c r="G4" s="21" t="n">
        <f aca="false">E4*F4</f>
        <v>49000</v>
      </c>
    </row>
    <row r="5" customFormat="false" ht="15" hidden="false" customHeight="false" outlineLevel="0" collapsed="false">
      <c r="A5" s="31" t="str">
        <f aca="false">Transport_Carbon!A5</f>
        <v>Cement (PPC / Blended)</v>
      </c>
      <c r="B5" s="37" t="n">
        <f aca="false">Transport_Carbon!E5</f>
        <v>200</v>
      </c>
      <c r="C5" s="34" t="n">
        <f aca="false">Transport_Carbon!G5</f>
        <v>400</v>
      </c>
      <c r="D5" s="36" t="n">
        <v>0.035</v>
      </c>
      <c r="E5" s="21" t="n">
        <f aca="false">B5*C5*D5</f>
        <v>2800</v>
      </c>
      <c r="F5" s="38" t="n">
        <v>7</v>
      </c>
      <c r="G5" s="21" t="n">
        <f aca="false">E5*F5</f>
        <v>19600</v>
      </c>
    </row>
    <row r="6" customFormat="false" ht="15" hidden="false" customHeight="false" outlineLevel="0" collapsed="false">
      <c r="A6" s="31" t="str">
        <f aca="false">Transport_Carbon!A6</f>
        <v>TMT Steel Rebar</v>
      </c>
      <c r="B6" s="37" t="n">
        <f aca="false">Transport_Carbon!E6</f>
        <v>80</v>
      </c>
      <c r="C6" s="34" t="n">
        <f aca="false">Transport_Carbon!G6</f>
        <v>400</v>
      </c>
      <c r="D6" s="36" t="n">
        <v>0.035</v>
      </c>
      <c r="E6" s="21" t="n">
        <f aca="false">B6*C6*D6</f>
        <v>1120</v>
      </c>
      <c r="F6" s="38" t="n">
        <v>7</v>
      </c>
      <c r="G6" s="21" t="n">
        <f aca="false">E6*F6</f>
        <v>7840</v>
      </c>
    </row>
    <row r="7" customFormat="false" ht="15" hidden="false" customHeight="false" outlineLevel="0" collapsed="false">
      <c r="A7" s="31" t="str">
        <f aca="false">Transport_Carbon!A7</f>
        <v>Ready-Mix Concrete M25</v>
      </c>
      <c r="B7" s="37" t="n">
        <f aca="false">Transport_Carbon!E7</f>
        <v>3600</v>
      </c>
      <c r="C7" s="34" t="n">
        <f aca="false">Transport_Carbon!G7</f>
        <v>400</v>
      </c>
      <c r="D7" s="36" t="n">
        <v>0.035</v>
      </c>
      <c r="E7" s="21" t="n">
        <f aca="false">B7*C7*D7</f>
        <v>50400</v>
      </c>
      <c r="F7" s="38" t="n">
        <v>7</v>
      </c>
      <c r="G7" s="21" t="n">
        <f aca="false">E7*F7</f>
        <v>352800</v>
      </c>
    </row>
    <row r="8" customFormat="false" ht="15" hidden="false" customHeight="false" outlineLevel="0" collapsed="false">
      <c r="A8" s="31" t="str">
        <f aca="false">Transport_Carbon!A8</f>
        <v>Fly Ash Brick</v>
      </c>
      <c r="B8" s="37" t="n">
        <f aca="false">Transport_Carbon!E8</f>
        <v>1440</v>
      </c>
      <c r="C8" s="34" t="n">
        <f aca="false">Transport_Carbon!G8</f>
        <v>400</v>
      </c>
      <c r="D8" s="36" t="n">
        <v>0.035</v>
      </c>
      <c r="E8" s="21" t="n">
        <f aca="false">B8*C8*D8</f>
        <v>20160</v>
      </c>
      <c r="F8" s="38" t="n">
        <v>7</v>
      </c>
      <c r="G8" s="21" t="n">
        <f aca="false">E8*F8</f>
        <v>141120</v>
      </c>
    </row>
    <row r="9" customFormat="false" ht="15" hidden="false" customHeight="false" outlineLevel="0" collapsed="false">
      <c r="A9" s="31" t="str">
        <f aca="false">Transport_Carbon!A9</f>
        <v>Clay Brick (fired)</v>
      </c>
      <c r="B9" s="37" t="n">
        <f aca="false">Transport_Carbon!E9</f>
        <v>300</v>
      </c>
      <c r="C9" s="34" t="n">
        <f aca="false">Transport_Carbon!G9</f>
        <v>400</v>
      </c>
      <c r="D9" s="36" t="n">
        <v>0.035</v>
      </c>
      <c r="E9" s="21" t="n">
        <f aca="false">B9*C9*D9</f>
        <v>4200</v>
      </c>
      <c r="F9" s="38" t="n">
        <v>7</v>
      </c>
      <c r="G9" s="21" t="n">
        <f aca="false">E9*F9</f>
        <v>29400</v>
      </c>
    </row>
    <row r="10" customFormat="false" ht="15" hidden="false" customHeight="false" outlineLevel="0" collapsed="false">
      <c r="A10" s="31" t="str">
        <f aca="false">Transport_Carbon!A10</f>
        <v>AAC Block</v>
      </c>
      <c r="B10" s="37" t="n">
        <f aca="false">Transport_Carbon!E10</f>
        <v>275</v>
      </c>
      <c r="C10" s="34" t="n">
        <f aca="false">Transport_Carbon!G10</f>
        <v>400</v>
      </c>
      <c r="D10" s="36" t="n">
        <v>0.035</v>
      </c>
      <c r="E10" s="21" t="n">
        <f aca="false">B10*C10*D10</f>
        <v>3850</v>
      </c>
      <c r="F10" s="38" t="n">
        <v>7</v>
      </c>
      <c r="G10" s="21" t="n">
        <f aca="false">E10*F10</f>
        <v>26950</v>
      </c>
    </row>
    <row r="11" customFormat="false" ht="15" hidden="false" customHeight="false" outlineLevel="0" collapsed="false">
      <c r="A11" s="31" t="str">
        <f aca="false">Transport_Carbon!A11</f>
        <v>Float Glass</v>
      </c>
      <c r="B11" s="37" t="n">
        <f aca="false">Transport_Carbon!E11</f>
        <v>45</v>
      </c>
      <c r="C11" s="34" t="n">
        <f aca="false">Transport_Carbon!G11</f>
        <v>400</v>
      </c>
      <c r="D11" s="36" t="n">
        <v>0.035</v>
      </c>
      <c r="E11" s="21" t="n">
        <f aca="false">B11*C11*D11</f>
        <v>630</v>
      </c>
      <c r="F11" s="38" t="n">
        <v>7</v>
      </c>
      <c r="G11" s="21" t="n">
        <f aca="false">E11*F11</f>
        <v>4410</v>
      </c>
    </row>
    <row r="12" customFormat="false" ht="15" hidden="false" customHeight="false" outlineLevel="0" collapsed="false">
      <c r="A12" s="31" t="str">
        <f aca="false">Transport_Carbon!A12</f>
        <v>Aluminium (avg. 33% recycled)</v>
      </c>
      <c r="B12" s="37" t="n">
        <f aca="false">Transport_Carbon!E12</f>
        <v>20</v>
      </c>
      <c r="C12" s="34" t="n">
        <f aca="false">Transport_Carbon!G12</f>
        <v>400</v>
      </c>
      <c r="D12" s="36" t="n">
        <v>0.035</v>
      </c>
      <c r="E12" s="21" t="n">
        <f aca="false">B12*C12*D12</f>
        <v>280</v>
      </c>
      <c r="F12" s="38" t="n">
        <v>7</v>
      </c>
      <c r="G12" s="21" t="n">
        <f aca="false">E12*F12</f>
        <v>1960</v>
      </c>
    </row>
    <row r="13" customFormat="false" ht="15" hidden="false" customHeight="false" outlineLevel="0" collapsed="false">
      <c r="A13" s="31" t="str">
        <f aca="false">Transport_Carbon!A13</f>
        <v>Timber (sawn softwood)</v>
      </c>
      <c r="B13" s="37" t="n">
        <f aca="false">Transport_Carbon!E13</f>
        <v>55</v>
      </c>
      <c r="C13" s="34" t="n">
        <f aca="false">Transport_Carbon!G13</f>
        <v>400</v>
      </c>
      <c r="D13" s="36" t="n">
        <v>0.035</v>
      </c>
      <c r="E13" s="21" t="n">
        <f aca="false">B13*C13*D13</f>
        <v>770</v>
      </c>
      <c r="F13" s="38" t="n">
        <v>7</v>
      </c>
      <c r="G13" s="21" t="n">
        <f aca="false">E13*F13</f>
        <v>5390</v>
      </c>
    </row>
    <row r="14" customFormat="false" ht="15" hidden="false" customHeight="false" outlineLevel="0" collapsed="false">
      <c r="A14" s="31" t="str">
        <f aca="false">Transport_Carbon!A14</f>
        <v>Ceramic Tiles</v>
      </c>
      <c r="B14" s="37" t="n">
        <f aca="false">Transport_Carbon!E14</f>
        <v>216</v>
      </c>
      <c r="C14" s="34" t="n">
        <f aca="false">Transport_Carbon!G14</f>
        <v>400</v>
      </c>
      <c r="D14" s="36" t="n">
        <v>0.035</v>
      </c>
      <c r="E14" s="21" t="n">
        <f aca="false">B14*C14*D14</f>
        <v>3024</v>
      </c>
      <c r="F14" s="38" t="n">
        <v>7</v>
      </c>
      <c r="G14" s="21" t="n">
        <f aca="false">E14*F14</f>
        <v>21168</v>
      </c>
    </row>
    <row r="15" customFormat="false" ht="15" hidden="false" customHeight="false" outlineLevel="0" collapsed="false">
      <c r="A15" s="31" t="str">
        <f aca="false">Transport_Carbon!A15</f>
        <v>Paint (water-based emulsion)</v>
      </c>
      <c r="B15" s="37" t="n">
        <f aca="false">Transport_Carbon!E15</f>
        <v>1.95</v>
      </c>
      <c r="C15" s="34" t="n">
        <f aca="false">Transport_Carbon!G15</f>
        <v>400</v>
      </c>
      <c r="D15" s="36" t="n">
        <v>0.035</v>
      </c>
      <c r="E15" s="21" t="n">
        <f aca="false">B15*C15*D15</f>
        <v>27.3</v>
      </c>
      <c r="F15" s="38" t="n">
        <v>7</v>
      </c>
      <c r="G15" s="21" t="n">
        <f aca="false">E15*F15</f>
        <v>191.1</v>
      </c>
    </row>
    <row r="16" customFormat="false" ht="15" hidden="false" customHeight="false" outlineLevel="0" collapsed="false">
      <c r="A16" s="31" t="str">
        <f aca="false">Transport_Carbon!A16</f>
        <v>XPS/EPS Insulation Board</v>
      </c>
      <c r="B16" s="37" t="n">
        <f aca="false">Transport_Carbon!E16</f>
        <v>1.5</v>
      </c>
      <c r="C16" s="34" t="n">
        <f aca="false">Transport_Carbon!G16</f>
        <v>400</v>
      </c>
      <c r="D16" s="36" t="n">
        <v>0.035</v>
      </c>
      <c r="E16" s="21" t="n">
        <f aca="false">B16*C16*D16</f>
        <v>21</v>
      </c>
      <c r="F16" s="38" t="n">
        <v>7</v>
      </c>
      <c r="G16" s="21" t="n">
        <f aca="false">E16*F16</f>
        <v>147</v>
      </c>
    </row>
    <row r="17" customFormat="false" ht="15" hidden="false" customHeight="false" outlineLevel="0" collapsed="false">
      <c r="A17" s="31" t="str">
        <f aca="false">Transport_Carbon!A17</f>
        <v>Cement Plaster/Mortar (1:4)</v>
      </c>
      <c r="B17" s="37" t="n">
        <f aca="false">Transport_Carbon!E17</f>
        <v>300</v>
      </c>
      <c r="C17" s="34" t="n">
        <f aca="false">Transport_Carbon!G17</f>
        <v>400</v>
      </c>
      <c r="D17" s="36" t="n">
        <v>0.035</v>
      </c>
      <c r="E17" s="21" t="n">
        <f aca="false">B17*C17*D17</f>
        <v>4200</v>
      </c>
      <c r="F17" s="38" t="n">
        <v>7</v>
      </c>
      <c r="G17" s="21" t="n">
        <f aca="false">E17*F17</f>
        <v>29400</v>
      </c>
    </row>
    <row r="18" customFormat="false" ht="15" hidden="false" customHeight="false" outlineLevel="0" collapsed="false">
      <c r="A18" s="11" t="s">
        <v>93</v>
      </c>
      <c r="B18" s="28"/>
      <c r="C18" s="28"/>
      <c r="D18" s="28"/>
      <c r="E18" s="28"/>
      <c r="F18" s="28"/>
      <c r="G18" s="12" t="n">
        <f aca="false">SUM(G4:G17)</f>
        <v>689376.1</v>
      </c>
    </row>
    <row r="20" customFormat="false" ht="15" hidden="false" customHeight="false" outlineLevel="0" collapsed="false">
      <c r="A20" s="23" t="s">
        <v>170</v>
      </c>
      <c r="B20" s="23"/>
      <c r="C20" s="23"/>
      <c r="D20" s="23"/>
      <c r="E20" s="23"/>
      <c r="F20" s="23"/>
      <c r="G20" s="23"/>
    </row>
  </sheetData>
  <mergeCells count="3">
    <mergeCell ref="A1:G1"/>
    <mergeCell ref="A2:G2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30" hidden="false" customHeight="true" outlineLevel="0" collapsed="false">
      <c r="A1" s="39" t="s">
        <v>171</v>
      </c>
      <c r="B1" s="39"/>
      <c r="C1" s="39"/>
      <c r="D1" s="39"/>
      <c r="E1" s="39"/>
      <c r="F1" s="39"/>
      <c r="G1" s="39"/>
    </row>
    <row r="2" customFormat="false" ht="15" hidden="false" customHeight="false" outlineLevel="0" collapsed="false">
      <c r="A2" s="2" t="s">
        <v>172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18" t="s">
        <v>173</v>
      </c>
      <c r="B4" s="34" t="n">
        <f aca="false">Dashboard!$B$8</f>
        <v>50</v>
      </c>
    </row>
    <row r="6" customFormat="false" ht="33.75" hidden="false" customHeight="true" outlineLevel="0" collapsed="false">
      <c r="A6" s="40" t="s">
        <v>174</v>
      </c>
      <c r="B6" s="40" t="s">
        <v>175</v>
      </c>
      <c r="C6" s="40" t="s">
        <v>176</v>
      </c>
      <c r="D6" s="40" t="s">
        <v>177</v>
      </c>
      <c r="E6" s="40" t="s">
        <v>178</v>
      </c>
      <c r="F6" s="40" t="s">
        <v>179</v>
      </c>
      <c r="G6" s="40" t="s">
        <v>119</v>
      </c>
    </row>
    <row r="7" customFormat="false" ht="15" hidden="false" customHeight="false" outlineLevel="0" collapsed="false">
      <c r="A7" s="4" t="s">
        <v>180</v>
      </c>
      <c r="B7" s="4" t="s">
        <v>181</v>
      </c>
      <c r="C7" s="6" t="n">
        <v>1</v>
      </c>
      <c r="D7" s="27" t="n">
        <v>0.5</v>
      </c>
      <c r="E7" s="41" t="n">
        <f aca="false">ROUNDDOWN($B$4/C7,0)</f>
        <v>50</v>
      </c>
      <c r="F7" s="34" t="n">
        <f aca="false">Dashboard!$B$7</f>
        <v>10000</v>
      </c>
      <c r="G7" s="21" t="n">
        <f aca="false">D7*E7*F7</f>
        <v>250000</v>
      </c>
    </row>
    <row r="8" customFormat="false" ht="15" hidden="false" customHeight="false" outlineLevel="0" collapsed="false">
      <c r="A8" s="4" t="s">
        <v>182</v>
      </c>
      <c r="B8" s="4" t="s">
        <v>183</v>
      </c>
      <c r="C8" s="6" t="n">
        <v>1</v>
      </c>
      <c r="D8" s="27" t="n">
        <v>0.3</v>
      </c>
      <c r="E8" s="41" t="n">
        <f aca="false">ROUNDDOWN($B$4/C8,0)</f>
        <v>50</v>
      </c>
      <c r="F8" s="34" t="n">
        <f aca="false">Dashboard!$B$7</f>
        <v>10000</v>
      </c>
      <c r="G8" s="21" t="n">
        <f aca="false">D8*E8*F8</f>
        <v>150000</v>
      </c>
    </row>
    <row r="9" customFormat="false" ht="15" hidden="false" customHeight="false" outlineLevel="0" collapsed="false">
      <c r="A9" s="4" t="s">
        <v>184</v>
      </c>
      <c r="B9" s="4" t="s">
        <v>185</v>
      </c>
      <c r="C9" s="6" t="n">
        <v>10</v>
      </c>
      <c r="D9" s="27" t="n">
        <v>1.5</v>
      </c>
      <c r="E9" s="41" t="n">
        <f aca="false">ROUNDDOWN($B$4/C9,0)</f>
        <v>5</v>
      </c>
      <c r="F9" s="34" t="n">
        <f aca="false">Dashboard!$B$7</f>
        <v>10000</v>
      </c>
      <c r="G9" s="21" t="n">
        <f aca="false">D9*E9*F9</f>
        <v>75000</v>
      </c>
    </row>
    <row r="10" customFormat="false" ht="15" hidden="false" customHeight="false" outlineLevel="0" collapsed="false">
      <c r="A10" s="4" t="s">
        <v>186</v>
      </c>
      <c r="B10" s="4" t="s">
        <v>187</v>
      </c>
      <c r="C10" s="6" t="n">
        <v>7</v>
      </c>
      <c r="D10" s="27" t="n">
        <v>3.5</v>
      </c>
      <c r="E10" s="41" t="n">
        <f aca="false">ROUNDDOWN($B$4/C10,0)</f>
        <v>7</v>
      </c>
      <c r="F10" s="34" t="n">
        <f aca="false">Dashboard!$B$7</f>
        <v>10000</v>
      </c>
      <c r="G10" s="21" t="n">
        <f aca="false">D10*E10*F10</f>
        <v>245000</v>
      </c>
    </row>
    <row r="11" customFormat="false" ht="15" hidden="false" customHeight="false" outlineLevel="0" collapsed="false">
      <c r="A11" s="4" t="s">
        <v>186</v>
      </c>
      <c r="B11" s="4" t="s">
        <v>188</v>
      </c>
      <c r="C11" s="6" t="n">
        <v>15</v>
      </c>
      <c r="D11" s="27" t="n">
        <v>1.2</v>
      </c>
      <c r="E11" s="41" t="n">
        <f aca="false">ROUNDDOWN($B$4/C11,0)</f>
        <v>3</v>
      </c>
      <c r="F11" s="34" t="n">
        <f aca="false">Dashboard!$B$7</f>
        <v>10000</v>
      </c>
      <c r="G11" s="21" t="n">
        <f aca="false">D11*E11*F11</f>
        <v>36000</v>
      </c>
    </row>
    <row r="12" customFormat="false" ht="15" hidden="false" customHeight="false" outlineLevel="0" collapsed="false">
      <c r="A12" s="4" t="s">
        <v>186</v>
      </c>
      <c r="B12" s="4" t="s">
        <v>189</v>
      </c>
      <c r="C12" s="6" t="n">
        <v>20</v>
      </c>
      <c r="D12" s="27" t="n">
        <v>4</v>
      </c>
      <c r="E12" s="41" t="n">
        <f aca="false">ROUNDDOWN($B$4/C12,0)</f>
        <v>2</v>
      </c>
      <c r="F12" s="34" t="n">
        <f aca="false">Dashboard!$B$7</f>
        <v>10000</v>
      </c>
      <c r="G12" s="21" t="n">
        <f aca="false">D12*E12*F12</f>
        <v>80000</v>
      </c>
    </row>
    <row r="13" customFormat="false" ht="15" hidden="false" customHeight="false" outlineLevel="0" collapsed="false">
      <c r="A13" s="4" t="s">
        <v>190</v>
      </c>
      <c r="B13" s="4" t="s">
        <v>191</v>
      </c>
      <c r="C13" s="6" t="n">
        <v>30</v>
      </c>
      <c r="D13" s="27" t="n">
        <v>8</v>
      </c>
      <c r="E13" s="41" t="n">
        <f aca="false">ROUNDDOWN($B$4/C13,0)</f>
        <v>1</v>
      </c>
      <c r="F13" s="34" t="n">
        <f aca="false">Dashboard!$B$7</f>
        <v>10000</v>
      </c>
      <c r="G13" s="21" t="n">
        <f aca="false">D13*E13*F13</f>
        <v>80000</v>
      </c>
    </row>
    <row r="14" customFormat="false" ht="15" hidden="false" customHeight="false" outlineLevel="0" collapsed="false">
      <c r="A14" s="11" t="s">
        <v>192</v>
      </c>
      <c r="B14" s="28"/>
      <c r="C14" s="28"/>
      <c r="D14" s="28"/>
      <c r="E14" s="28"/>
      <c r="F14" s="28"/>
      <c r="G14" s="12" t="n">
        <f aca="false">SUM(G7:G13)</f>
        <v>916000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6" min="4" style="0" width="18"/>
  </cols>
  <sheetData>
    <row r="1" customFormat="false" ht="30" hidden="false" customHeight="true" outlineLevel="0" collapsed="false">
      <c r="A1" s="39" t="s">
        <v>193</v>
      </c>
      <c r="B1" s="39"/>
      <c r="C1" s="39"/>
      <c r="D1" s="39"/>
      <c r="E1" s="39"/>
      <c r="F1" s="39"/>
    </row>
    <row r="2" customFormat="false" ht="15" hidden="false" customHeight="false" outlineLevel="0" collapsed="false">
      <c r="A2" s="2" t="s">
        <v>194</v>
      </c>
      <c r="B2" s="2"/>
      <c r="C2" s="2"/>
      <c r="D2" s="2"/>
      <c r="E2" s="2"/>
      <c r="F2" s="2"/>
    </row>
    <row r="3" customFormat="false" ht="33.75" hidden="false" customHeight="true" outlineLevel="0" collapsed="false">
      <c r="A3" s="40" t="s">
        <v>174</v>
      </c>
      <c r="B3" s="40" t="s">
        <v>175</v>
      </c>
      <c r="C3" s="40" t="s">
        <v>117</v>
      </c>
      <c r="D3" s="40" t="s">
        <v>179</v>
      </c>
      <c r="E3" s="40" t="s">
        <v>119</v>
      </c>
    </row>
    <row r="4" customFormat="false" ht="15" hidden="false" customHeight="false" outlineLevel="0" collapsed="false">
      <c r="A4" s="4" t="s">
        <v>195</v>
      </c>
      <c r="B4" s="4" t="s">
        <v>196</v>
      </c>
      <c r="C4" s="27" t="n">
        <v>5</v>
      </c>
      <c r="D4" s="34" t="n">
        <f aca="false">Dashboard!$B$7</f>
        <v>10000</v>
      </c>
      <c r="E4" s="21" t="n">
        <f aca="false">C4*D4</f>
        <v>50000</v>
      </c>
    </row>
    <row r="5" customFormat="false" ht="15" hidden="false" customHeight="false" outlineLevel="0" collapsed="false">
      <c r="A5" s="4" t="s">
        <v>197</v>
      </c>
      <c r="B5" s="4" t="s">
        <v>198</v>
      </c>
      <c r="C5" s="27" t="n">
        <v>2</v>
      </c>
      <c r="D5" s="34" t="n">
        <f aca="false">Dashboard!$B$7</f>
        <v>10000</v>
      </c>
      <c r="E5" s="21" t="n">
        <f aca="false">C5*D5</f>
        <v>20000</v>
      </c>
    </row>
    <row r="6" customFormat="false" ht="15" hidden="false" customHeight="false" outlineLevel="0" collapsed="false">
      <c r="A6" s="4" t="s">
        <v>199</v>
      </c>
      <c r="B6" s="4" t="s">
        <v>200</v>
      </c>
      <c r="C6" s="27" t="n">
        <v>6</v>
      </c>
      <c r="D6" s="34" t="n">
        <f aca="false">Dashboard!$B$7</f>
        <v>10000</v>
      </c>
      <c r="E6" s="21" t="n">
        <f aca="false">C6*D6</f>
        <v>60000</v>
      </c>
    </row>
    <row r="7" customFormat="false" ht="15" hidden="false" customHeight="false" outlineLevel="0" collapsed="false">
      <c r="A7" s="11" t="s">
        <v>201</v>
      </c>
      <c r="B7" s="28"/>
      <c r="C7" s="28"/>
      <c r="D7" s="28"/>
      <c r="E7" s="12" t="n">
        <f aca="false">SUM(E4:E6)</f>
        <v>130000</v>
      </c>
    </row>
    <row r="9" customFormat="false" ht="15" hidden="false" customHeight="false" outlineLevel="0" collapsed="false">
      <c r="A9" s="42" t="s">
        <v>202</v>
      </c>
      <c r="B9" s="42"/>
      <c r="C9" s="42"/>
      <c r="D9" s="42"/>
      <c r="E9" s="42"/>
      <c r="F9" s="42"/>
    </row>
    <row r="10" customFormat="false" ht="33.75" hidden="false" customHeight="true" outlineLevel="0" collapsed="false">
      <c r="A10" s="40" t="s">
        <v>203</v>
      </c>
      <c r="B10" s="40" t="s">
        <v>204</v>
      </c>
      <c r="C10" s="40" t="s">
        <v>205</v>
      </c>
      <c r="D10" s="40" t="s">
        <v>206</v>
      </c>
      <c r="E10" s="40" t="s">
        <v>158</v>
      </c>
      <c r="F10" s="40" t="s">
        <v>159</v>
      </c>
    </row>
    <row r="11" customFormat="false" ht="15" hidden="false" customHeight="false" outlineLevel="0" collapsed="false">
      <c r="A11" s="4" t="s">
        <v>207</v>
      </c>
      <c r="B11" s="36" t="n">
        <v>0.15</v>
      </c>
      <c r="C11" s="21" t="n">
        <f aca="false">B11*Dashboard!$B$7</f>
        <v>1500</v>
      </c>
      <c r="D11" s="6" t="n">
        <v>50</v>
      </c>
      <c r="E11" s="36" t="n">
        <v>0.12</v>
      </c>
      <c r="F11" s="21" t="n">
        <f aca="false">C11*D11*E11</f>
        <v>9000</v>
      </c>
    </row>
    <row r="13" customFormat="false" ht="15" hidden="false" customHeight="false" outlineLevel="0" collapsed="false">
      <c r="A13" s="11" t="s">
        <v>208</v>
      </c>
      <c r="B13" s="28"/>
      <c r="C13" s="28"/>
      <c r="D13" s="28"/>
      <c r="E13" s="28"/>
      <c r="F13" s="12" t="n">
        <f aca="false">E7+F11</f>
        <v>139000</v>
      </c>
    </row>
  </sheetData>
  <mergeCells count="3">
    <mergeCell ref="A1:F1"/>
    <mergeCell ref="A2:F2"/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5" min="4" style="0" width="18"/>
  </cols>
  <sheetData>
    <row r="1" customFormat="false" ht="30" hidden="false" customHeight="true" outlineLevel="0" collapsed="false">
      <c r="A1" s="39" t="s">
        <v>209</v>
      </c>
      <c r="B1" s="39"/>
      <c r="C1" s="39"/>
      <c r="D1" s="39"/>
      <c r="E1" s="39"/>
    </row>
    <row r="2" customFormat="false" ht="15" hidden="false" customHeight="false" outlineLevel="0" collapsed="false">
      <c r="A2" s="2" t="s">
        <v>210</v>
      </c>
      <c r="B2" s="2"/>
      <c r="C2" s="2"/>
      <c r="D2" s="2"/>
      <c r="E2" s="2"/>
    </row>
    <row r="4" customFormat="false" ht="33.75" hidden="false" customHeight="true" outlineLevel="0" collapsed="false">
      <c r="A4" s="40" t="s">
        <v>12</v>
      </c>
      <c r="B4" s="40" t="s">
        <v>175</v>
      </c>
      <c r="C4" s="40" t="s">
        <v>211</v>
      </c>
      <c r="D4" s="40" t="s">
        <v>179</v>
      </c>
      <c r="E4" s="40" t="s">
        <v>212</v>
      </c>
    </row>
    <row r="5" customFormat="false" ht="15" hidden="false" customHeight="false" outlineLevel="0" collapsed="false">
      <c r="A5" s="4" t="s">
        <v>213</v>
      </c>
      <c r="B5" s="4" t="s">
        <v>214</v>
      </c>
      <c r="C5" s="27" t="n">
        <v>-3</v>
      </c>
      <c r="D5" s="34" t="n">
        <f aca="false">Dashboard!$B$7</f>
        <v>10000</v>
      </c>
      <c r="E5" s="21" t="n">
        <f aca="false">C5*D5</f>
        <v>-30000</v>
      </c>
    </row>
    <row r="6" customFormat="false" ht="15" hidden="false" customHeight="false" outlineLevel="0" collapsed="false">
      <c r="A6" s="4" t="s">
        <v>215</v>
      </c>
      <c r="B6" s="4" t="s">
        <v>216</v>
      </c>
      <c r="C6" s="27" t="n">
        <v>-8</v>
      </c>
      <c r="D6" s="34" t="n">
        <f aca="false">Dashboard!$B$7</f>
        <v>10000</v>
      </c>
      <c r="E6" s="21" t="n">
        <f aca="false">C6*D6</f>
        <v>-80000</v>
      </c>
    </row>
    <row r="7" customFormat="false" ht="15" hidden="false" customHeight="false" outlineLevel="0" collapsed="false">
      <c r="A7" s="4" t="s">
        <v>217</v>
      </c>
      <c r="B7" s="4" t="s">
        <v>218</v>
      </c>
      <c r="C7" s="27" t="n">
        <v>-2</v>
      </c>
      <c r="D7" s="34" t="n">
        <f aca="false">Dashboard!$B$7</f>
        <v>10000</v>
      </c>
      <c r="E7" s="21" t="n">
        <f aca="false">C7*D7</f>
        <v>-20000</v>
      </c>
    </row>
    <row r="8" customFormat="false" ht="15" hidden="false" customHeight="false" outlineLevel="0" collapsed="false">
      <c r="A8" s="11" t="s">
        <v>219</v>
      </c>
      <c r="B8" s="28"/>
      <c r="C8" s="28"/>
      <c r="D8" s="28"/>
      <c r="E8" s="12" t="n">
        <f aca="false">SUM(E5:E7)</f>
        <v>-130000</v>
      </c>
    </row>
    <row r="10" customFormat="false" ht="15" hidden="false" customHeight="false" outlineLevel="0" collapsed="false">
      <c r="A10" s="23" t="s">
        <v>220</v>
      </c>
      <c r="B10" s="23"/>
      <c r="C10" s="23"/>
      <c r="D10" s="23"/>
      <c r="E10" s="23"/>
    </row>
  </sheetData>
  <mergeCells count="3">
    <mergeCell ref="A1:E1"/>
    <mergeCell ref="A2:E2"/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4" min="3" style="0" width="16"/>
    <col collapsed="false" customWidth="true" hidden="false" outlineLevel="0" max="5" min="5" style="0" width="20"/>
    <col collapsed="false" customWidth="true" hidden="false" outlineLevel="0" max="6" min="6" style="0" width="34"/>
    <col collapsed="false" customWidth="true" hidden="false" outlineLevel="0" max="7" min="7" style="0" width="20"/>
  </cols>
  <sheetData>
    <row r="1" customFormat="false" ht="30" hidden="false" customHeight="true" outlineLevel="0" collapsed="false">
      <c r="A1" s="43" t="s">
        <v>221</v>
      </c>
      <c r="B1" s="43"/>
      <c r="C1" s="43"/>
      <c r="D1" s="43"/>
      <c r="E1" s="43"/>
      <c r="F1" s="43"/>
      <c r="G1" s="43"/>
    </row>
    <row r="2" customFormat="false" ht="15" hidden="false" customHeight="false" outlineLevel="0" collapsed="false">
      <c r="A2" s="2" t="s">
        <v>222</v>
      </c>
      <c r="B2" s="2"/>
      <c r="C2" s="2"/>
      <c r="D2" s="2"/>
      <c r="E2" s="2"/>
      <c r="F2" s="2"/>
      <c r="G2" s="2"/>
    </row>
    <row r="3" customFormat="false" ht="33.75" hidden="false" customHeight="true" outlineLevel="0" collapsed="false">
      <c r="A3" s="44" t="s">
        <v>96</v>
      </c>
      <c r="B3" s="44" t="s">
        <v>97</v>
      </c>
      <c r="C3" s="44" t="s">
        <v>98</v>
      </c>
      <c r="D3" s="44" t="s">
        <v>99</v>
      </c>
      <c r="E3" s="44" t="s">
        <v>223</v>
      </c>
      <c r="F3" s="44" t="s">
        <v>58</v>
      </c>
      <c r="G3" s="44" t="s">
        <v>224</v>
      </c>
    </row>
    <row r="4" customFormat="false" ht="15" hidden="false" customHeight="false" outlineLevel="0" collapsed="false">
      <c r="A4" s="31" t="str">
        <f aca="false">Material_Embodied_Carbon!A4</f>
        <v>Cement (OPC 43/53 Grade)</v>
      </c>
      <c r="B4" s="32" t="str">
        <f aca="false">Material_Embodied_Carbon!B4</f>
        <v>kg</v>
      </c>
      <c r="C4" s="33" t="n">
        <f aca="false">Material_Embodied_Carbon!C4</f>
        <v>50</v>
      </c>
      <c r="D4" s="9" t="n">
        <f aca="false">Material_Embodied_Carbon!D4</f>
        <v>500000</v>
      </c>
      <c r="E4" s="27" t="n">
        <v>5.5</v>
      </c>
      <c r="F4" s="4" t="s">
        <v>225</v>
      </c>
      <c r="G4" s="21" t="n">
        <f aca="false">D4*E4</f>
        <v>2750000</v>
      </c>
    </row>
    <row r="5" customFormat="false" ht="15" hidden="false" customHeight="false" outlineLevel="0" collapsed="false">
      <c r="A5" s="31" t="str">
        <f aca="false">Material_Embodied_Carbon!A5</f>
        <v>Cement (PPC / Blended)</v>
      </c>
      <c r="B5" s="32" t="str">
        <f aca="false">Material_Embodied_Carbon!B5</f>
        <v>kg</v>
      </c>
      <c r="C5" s="33" t="n">
        <f aca="false">Material_Embodied_Carbon!C5</f>
        <v>20</v>
      </c>
      <c r="D5" s="9" t="n">
        <f aca="false">Material_Embodied_Carbon!D5</f>
        <v>200000</v>
      </c>
      <c r="E5" s="27" t="n">
        <v>4.5</v>
      </c>
      <c r="F5" s="4" t="s">
        <v>226</v>
      </c>
      <c r="G5" s="21" t="n">
        <f aca="false">D5*E5</f>
        <v>900000</v>
      </c>
    </row>
    <row r="6" customFormat="false" ht="15" hidden="false" customHeight="false" outlineLevel="0" collapsed="false">
      <c r="A6" s="31" t="str">
        <f aca="false">Material_Embodied_Carbon!A6</f>
        <v>TMT Steel Rebar</v>
      </c>
      <c r="B6" s="32" t="str">
        <f aca="false">Material_Embodied_Carbon!B6</f>
        <v>kg</v>
      </c>
      <c r="C6" s="33" t="n">
        <f aca="false">Material_Embodied_Carbon!C6</f>
        <v>8</v>
      </c>
      <c r="D6" s="9" t="n">
        <f aca="false">Material_Embodied_Carbon!D6</f>
        <v>80000</v>
      </c>
      <c r="E6" s="27" t="n">
        <v>24</v>
      </c>
      <c r="F6" s="4" t="s">
        <v>227</v>
      </c>
      <c r="G6" s="21" t="n">
        <f aca="false">D6*E6</f>
        <v>1920000</v>
      </c>
    </row>
    <row r="7" customFormat="false" ht="15" hidden="false" customHeight="false" outlineLevel="0" collapsed="false">
      <c r="A7" s="31" t="str">
        <f aca="false">Material_Embodied_Carbon!A7</f>
        <v>Ready-Mix Concrete M25</v>
      </c>
      <c r="B7" s="32" t="str">
        <f aca="false">Material_Embodied_Carbon!B7</f>
        <v>m3</v>
      </c>
      <c r="C7" s="33" t="n">
        <f aca="false">Material_Embodied_Carbon!C7</f>
        <v>0.15</v>
      </c>
      <c r="D7" s="9" t="n">
        <f aca="false">Material_Embodied_Carbon!D7</f>
        <v>1500</v>
      </c>
      <c r="E7" s="27" t="n">
        <v>1100</v>
      </c>
      <c r="F7" s="4" t="s">
        <v>228</v>
      </c>
      <c r="G7" s="21" t="n">
        <f aca="false">D7*E7</f>
        <v>1650000</v>
      </c>
    </row>
    <row r="8" customFormat="false" ht="15" hidden="false" customHeight="false" outlineLevel="0" collapsed="false">
      <c r="A8" s="31" t="str">
        <f aca="false">Material_Embodied_Carbon!A8</f>
        <v>Fly Ash Brick</v>
      </c>
      <c r="B8" s="32" t="str">
        <f aca="false">Material_Embodied_Carbon!B8</f>
        <v>no.</v>
      </c>
      <c r="C8" s="33" t="n">
        <f aca="false">Material_Embodied_Carbon!C8</f>
        <v>45</v>
      </c>
      <c r="D8" s="9" t="n">
        <f aca="false">Material_Embodied_Carbon!D8</f>
        <v>450000</v>
      </c>
      <c r="E8" s="27" t="n">
        <v>2.5</v>
      </c>
      <c r="F8" s="4" t="s">
        <v>72</v>
      </c>
      <c r="G8" s="21" t="n">
        <f aca="false">D8*E8</f>
        <v>1125000</v>
      </c>
    </row>
    <row r="9" customFormat="false" ht="15" hidden="false" customHeight="false" outlineLevel="0" collapsed="false">
      <c r="A9" s="31" t="str">
        <f aca="false">Material_Embodied_Carbon!A9</f>
        <v>Clay Brick (fired)</v>
      </c>
      <c r="B9" s="32" t="str">
        <f aca="false">Material_Embodied_Carbon!B9</f>
        <v>no.</v>
      </c>
      <c r="C9" s="33" t="n">
        <f aca="false">Material_Embodied_Carbon!C9</f>
        <v>10</v>
      </c>
      <c r="D9" s="9" t="n">
        <f aca="false">Material_Embodied_Carbon!D9</f>
        <v>100000</v>
      </c>
      <c r="E9" s="27" t="n">
        <v>3</v>
      </c>
      <c r="F9" s="4" t="s">
        <v>229</v>
      </c>
      <c r="G9" s="21" t="n">
        <f aca="false">D9*E9</f>
        <v>300000</v>
      </c>
    </row>
    <row r="10" customFormat="false" ht="15" hidden="false" customHeight="false" outlineLevel="0" collapsed="false">
      <c r="A10" s="31" t="str">
        <f aca="false">Material_Embodied_Carbon!A10</f>
        <v>AAC Block</v>
      </c>
      <c r="B10" s="32" t="str">
        <f aca="false">Material_Embodied_Carbon!B10</f>
        <v>m3</v>
      </c>
      <c r="C10" s="33" t="n">
        <f aca="false">Material_Embodied_Carbon!C10</f>
        <v>0.05</v>
      </c>
      <c r="D10" s="9" t="n">
        <f aca="false">Material_Embodied_Carbon!D10</f>
        <v>500</v>
      </c>
      <c r="E10" s="27" t="n">
        <v>1600</v>
      </c>
      <c r="F10" s="4" t="s">
        <v>76</v>
      </c>
      <c r="G10" s="21" t="n">
        <f aca="false">D10*E10</f>
        <v>800000</v>
      </c>
    </row>
    <row r="11" customFormat="false" ht="15" hidden="false" customHeight="false" outlineLevel="0" collapsed="false">
      <c r="A11" s="31" t="str">
        <f aca="false">Material_Embodied_Carbon!A11</f>
        <v>Float Glass</v>
      </c>
      <c r="B11" s="32" t="str">
        <f aca="false">Material_Embodied_Carbon!B11</f>
        <v>m2</v>
      </c>
      <c r="C11" s="33" t="n">
        <f aca="false">Material_Embodied_Carbon!C11</f>
        <v>0.3</v>
      </c>
      <c r="D11" s="9" t="n">
        <f aca="false">Material_Embodied_Carbon!D11</f>
        <v>3000</v>
      </c>
      <c r="E11" s="27" t="n">
        <v>225</v>
      </c>
      <c r="F11" s="4" t="s">
        <v>230</v>
      </c>
      <c r="G11" s="21" t="n">
        <f aca="false">D11*E11</f>
        <v>675000</v>
      </c>
    </row>
    <row r="12" customFormat="false" ht="15" hidden="false" customHeight="false" outlineLevel="0" collapsed="false">
      <c r="A12" s="31" t="str">
        <f aca="false">Material_Embodied_Carbon!A12</f>
        <v>Aluminium (avg. 33% recycled)</v>
      </c>
      <c r="B12" s="32" t="str">
        <f aca="false">Material_Embodied_Carbon!B12</f>
        <v>kg</v>
      </c>
      <c r="C12" s="33" t="n">
        <f aca="false">Material_Embodied_Carbon!C12</f>
        <v>2</v>
      </c>
      <c r="D12" s="9" t="n">
        <f aca="false">Material_Embodied_Carbon!D12</f>
        <v>20000</v>
      </c>
      <c r="E12" s="27" t="n">
        <v>155</v>
      </c>
      <c r="F12" s="4" t="s">
        <v>231</v>
      </c>
      <c r="G12" s="21" t="n">
        <f aca="false">D12*E12</f>
        <v>3100000</v>
      </c>
    </row>
    <row r="13" customFormat="false" ht="15" hidden="false" customHeight="false" outlineLevel="0" collapsed="false">
      <c r="A13" s="31" t="str">
        <f aca="false">Material_Embodied_Carbon!A13</f>
        <v>Timber (sawn softwood)</v>
      </c>
      <c r="B13" s="32" t="str">
        <f aca="false">Material_Embodied_Carbon!B13</f>
        <v>m3</v>
      </c>
      <c r="C13" s="33" t="n">
        <f aca="false">Material_Embodied_Carbon!C13</f>
        <v>0.01</v>
      </c>
      <c r="D13" s="9" t="n">
        <f aca="false">Material_Embodied_Carbon!D13</f>
        <v>100</v>
      </c>
      <c r="E13" s="27" t="n">
        <v>3400</v>
      </c>
      <c r="F13" s="4" t="s">
        <v>232</v>
      </c>
      <c r="G13" s="21" t="n">
        <f aca="false">D13*E13</f>
        <v>340000</v>
      </c>
    </row>
    <row r="14" customFormat="false" ht="15" hidden="false" customHeight="false" outlineLevel="0" collapsed="false">
      <c r="A14" s="31" t="str">
        <f aca="false">Material_Embodied_Carbon!A14</f>
        <v>Ceramic Tiles</v>
      </c>
      <c r="B14" s="32" t="str">
        <f aca="false">Material_Embodied_Carbon!B14</f>
        <v>m2</v>
      </c>
      <c r="C14" s="33" t="n">
        <f aca="false">Material_Embodied_Carbon!C14</f>
        <v>1.2</v>
      </c>
      <c r="D14" s="9" t="n">
        <f aca="false">Material_Embodied_Carbon!D14</f>
        <v>12000</v>
      </c>
      <c r="E14" s="27" t="n">
        <v>230</v>
      </c>
      <c r="F14" s="4" t="s">
        <v>233</v>
      </c>
      <c r="G14" s="21" t="n">
        <f aca="false">D14*E14</f>
        <v>2760000</v>
      </c>
    </row>
    <row r="15" customFormat="false" ht="15" hidden="false" customHeight="false" outlineLevel="0" collapsed="false">
      <c r="A15" s="31" t="str">
        <f aca="false">Material_Embodied_Carbon!A15</f>
        <v>Paint (water-based emulsion)</v>
      </c>
      <c r="B15" s="32" t="str">
        <f aca="false">Material_Embodied_Carbon!B15</f>
        <v>litre</v>
      </c>
      <c r="C15" s="33" t="n">
        <f aca="false">Material_Embodied_Carbon!C15</f>
        <v>0.15</v>
      </c>
      <c r="D15" s="9" t="n">
        <f aca="false">Material_Embodied_Carbon!D15</f>
        <v>1500</v>
      </c>
      <c r="E15" s="27" t="n">
        <v>85</v>
      </c>
      <c r="F15" s="4" t="s">
        <v>234</v>
      </c>
      <c r="G15" s="21" t="n">
        <f aca="false">D15*E15</f>
        <v>127500</v>
      </c>
    </row>
    <row r="16" customFormat="false" ht="15" hidden="false" customHeight="false" outlineLevel="0" collapsed="false">
      <c r="A16" s="31" t="str">
        <f aca="false">Material_Embodied_Carbon!A16</f>
        <v>XPS/EPS Insulation Board</v>
      </c>
      <c r="B16" s="32" t="str">
        <f aca="false">Material_Embodied_Carbon!B16</f>
        <v>m2</v>
      </c>
      <c r="C16" s="33" t="n">
        <f aca="false">Material_Embodied_Carbon!C16</f>
        <v>0.1</v>
      </c>
      <c r="D16" s="9" t="n">
        <f aca="false">Material_Embodied_Carbon!D16</f>
        <v>1000</v>
      </c>
      <c r="E16" s="27" t="n">
        <v>100</v>
      </c>
      <c r="F16" s="4" t="s">
        <v>235</v>
      </c>
      <c r="G16" s="21" t="n">
        <f aca="false">D16*E16</f>
        <v>100000</v>
      </c>
    </row>
    <row r="17" customFormat="false" ht="15" hidden="false" customHeight="false" outlineLevel="0" collapsed="false">
      <c r="A17" s="31" t="str">
        <f aca="false">Material_Embodied_Carbon!A17</f>
        <v>Cement Plaster/Mortar (1:4)</v>
      </c>
      <c r="B17" s="32" t="str">
        <f aca="false">Material_Embodied_Carbon!B17</f>
        <v>kg</v>
      </c>
      <c r="C17" s="33" t="n">
        <f aca="false">Material_Embodied_Carbon!C17</f>
        <v>30</v>
      </c>
      <c r="D17" s="9" t="n">
        <f aca="false">Material_Embodied_Carbon!D17</f>
        <v>300000</v>
      </c>
      <c r="E17" s="27" t="n">
        <v>4</v>
      </c>
      <c r="F17" s="4" t="s">
        <v>113</v>
      </c>
      <c r="G17" s="21" t="n">
        <f aca="false">D17*E17</f>
        <v>1200000</v>
      </c>
    </row>
    <row r="18" customFormat="false" ht="15" hidden="false" customHeight="false" outlineLevel="0" collapsed="false">
      <c r="A18" s="11" t="s">
        <v>93</v>
      </c>
      <c r="B18" s="28"/>
      <c r="C18" s="28"/>
      <c r="D18" s="28"/>
      <c r="E18" s="28"/>
      <c r="F18" s="28"/>
      <c r="G18" s="12" t="n">
        <f aca="false">SUM(G4:G17)</f>
        <v>17747500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20"/>
  </cols>
  <sheetData>
    <row r="1" customFormat="false" ht="30" hidden="false" customHeight="true" outlineLevel="0" collapsed="false">
      <c r="A1" s="43" t="s">
        <v>236</v>
      </c>
      <c r="B1" s="43"/>
      <c r="C1" s="43"/>
      <c r="D1" s="43"/>
      <c r="E1" s="43"/>
      <c r="F1" s="43"/>
    </row>
    <row r="2" customFormat="false" ht="15" hidden="false" customHeight="false" outlineLevel="0" collapsed="false">
      <c r="A2" s="2" t="s">
        <v>237</v>
      </c>
      <c r="B2" s="2"/>
      <c r="C2" s="2"/>
      <c r="D2" s="2"/>
      <c r="E2" s="2"/>
      <c r="F2" s="2"/>
    </row>
    <row r="3" customFormat="false" ht="33.75" hidden="false" customHeight="true" outlineLevel="0" collapsed="false">
      <c r="A3" s="44" t="s">
        <v>96</v>
      </c>
      <c r="B3" s="44" t="s">
        <v>164</v>
      </c>
      <c r="C3" s="44" t="s">
        <v>238</v>
      </c>
      <c r="D3" s="44" t="s">
        <v>165</v>
      </c>
      <c r="E3" s="44" t="s">
        <v>239</v>
      </c>
      <c r="F3" s="44" t="s">
        <v>240</v>
      </c>
    </row>
    <row r="4" customFormat="false" ht="15" hidden="false" customHeight="false" outlineLevel="0" collapsed="false">
      <c r="A4" s="31" t="str">
        <f aca="false">Transport_Carbon!A4</f>
        <v>Cement (OPC 43/53 Grade)</v>
      </c>
      <c r="B4" s="37" t="n">
        <f aca="false">Transport_Carbon!E4</f>
        <v>500</v>
      </c>
      <c r="C4" s="32" t="str">
        <f aca="false">Transport_Carbon!F4</f>
        <v>Truck</v>
      </c>
      <c r="D4" s="34" t="n">
        <f aca="false">Transport_Carbon!G4</f>
        <v>400</v>
      </c>
      <c r="E4" s="45" t="n">
        <v>1.35</v>
      </c>
      <c r="F4" s="21" t="n">
        <f aca="false">B4*D4*E4</f>
        <v>270000</v>
      </c>
    </row>
    <row r="5" customFormat="false" ht="15" hidden="false" customHeight="false" outlineLevel="0" collapsed="false">
      <c r="A5" s="31" t="str">
        <f aca="false">Transport_Carbon!A5</f>
        <v>Cement (PPC / Blended)</v>
      </c>
      <c r="B5" s="37" t="n">
        <f aca="false">Transport_Carbon!E5</f>
        <v>200</v>
      </c>
      <c r="C5" s="32" t="str">
        <f aca="false">Transport_Carbon!F5</f>
        <v>Truck</v>
      </c>
      <c r="D5" s="34" t="n">
        <f aca="false">Transport_Carbon!G5</f>
        <v>400</v>
      </c>
      <c r="E5" s="45" t="n">
        <v>1.35</v>
      </c>
      <c r="F5" s="21" t="n">
        <f aca="false">B5*D5*E5</f>
        <v>108000</v>
      </c>
    </row>
    <row r="6" customFormat="false" ht="15" hidden="false" customHeight="false" outlineLevel="0" collapsed="false">
      <c r="A6" s="31" t="str">
        <f aca="false">Transport_Carbon!A6</f>
        <v>TMT Steel Rebar</v>
      </c>
      <c r="B6" s="37" t="n">
        <f aca="false">Transport_Carbon!E6</f>
        <v>80</v>
      </c>
      <c r="C6" s="32" t="str">
        <f aca="false">Transport_Carbon!F6</f>
        <v>Truck</v>
      </c>
      <c r="D6" s="34" t="n">
        <f aca="false">Transport_Carbon!G6</f>
        <v>400</v>
      </c>
      <c r="E6" s="45" t="n">
        <v>1.35</v>
      </c>
      <c r="F6" s="21" t="n">
        <f aca="false">B6*D6*E6</f>
        <v>43200</v>
      </c>
    </row>
    <row r="7" customFormat="false" ht="15" hidden="false" customHeight="false" outlineLevel="0" collapsed="false">
      <c r="A7" s="31" t="str">
        <f aca="false">Transport_Carbon!A7</f>
        <v>Ready-Mix Concrete M25</v>
      </c>
      <c r="B7" s="37" t="n">
        <f aca="false">Transport_Carbon!E7</f>
        <v>3600</v>
      </c>
      <c r="C7" s="32" t="str">
        <f aca="false">Transport_Carbon!F7</f>
        <v>Truck</v>
      </c>
      <c r="D7" s="34" t="n">
        <f aca="false">Transport_Carbon!G7</f>
        <v>400</v>
      </c>
      <c r="E7" s="45" t="n">
        <v>1.35</v>
      </c>
      <c r="F7" s="21" t="n">
        <f aca="false">B7*D7*E7</f>
        <v>1944000</v>
      </c>
    </row>
    <row r="8" customFormat="false" ht="15" hidden="false" customHeight="false" outlineLevel="0" collapsed="false">
      <c r="A8" s="31" t="str">
        <f aca="false">Transport_Carbon!A8</f>
        <v>Fly Ash Brick</v>
      </c>
      <c r="B8" s="37" t="n">
        <f aca="false">Transport_Carbon!E8</f>
        <v>1440</v>
      </c>
      <c r="C8" s="32" t="str">
        <f aca="false">Transport_Carbon!F8</f>
        <v>Truck</v>
      </c>
      <c r="D8" s="34" t="n">
        <f aca="false">Transport_Carbon!G8</f>
        <v>400</v>
      </c>
      <c r="E8" s="45" t="n">
        <v>1.35</v>
      </c>
      <c r="F8" s="21" t="n">
        <f aca="false">B8*D8*E8</f>
        <v>777600</v>
      </c>
    </row>
    <row r="9" customFormat="false" ht="15" hidden="false" customHeight="false" outlineLevel="0" collapsed="false">
      <c r="A9" s="31" t="str">
        <f aca="false">Transport_Carbon!A9</f>
        <v>Clay Brick (fired)</v>
      </c>
      <c r="B9" s="37" t="n">
        <f aca="false">Transport_Carbon!E9</f>
        <v>300</v>
      </c>
      <c r="C9" s="32" t="str">
        <f aca="false">Transport_Carbon!F9</f>
        <v>Truck</v>
      </c>
      <c r="D9" s="34" t="n">
        <f aca="false">Transport_Carbon!G9</f>
        <v>400</v>
      </c>
      <c r="E9" s="45" t="n">
        <v>1.35</v>
      </c>
      <c r="F9" s="21" t="n">
        <f aca="false">B9*D9*E9</f>
        <v>162000</v>
      </c>
    </row>
    <row r="10" customFormat="false" ht="15" hidden="false" customHeight="false" outlineLevel="0" collapsed="false">
      <c r="A10" s="31" t="str">
        <f aca="false">Transport_Carbon!A10</f>
        <v>AAC Block</v>
      </c>
      <c r="B10" s="37" t="n">
        <f aca="false">Transport_Carbon!E10</f>
        <v>275</v>
      </c>
      <c r="C10" s="32" t="str">
        <f aca="false">Transport_Carbon!F10</f>
        <v>Truck</v>
      </c>
      <c r="D10" s="34" t="n">
        <f aca="false">Transport_Carbon!G10</f>
        <v>400</v>
      </c>
      <c r="E10" s="45" t="n">
        <v>1.35</v>
      </c>
      <c r="F10" s="21" t="n">
        <f aca="false">B10*D10*E10</f>
        <v>148500</v>
      </c>
    </row>
    <row r="11" customFormat="false" ht="15" hidden="false" customHeight="false" outlineLevel="0" collapsed="false">
      <c r="A11" s="31" t="str">
        <f aca="false">Transport_Carbon!A11</f>
        <v>Float Glass</v>
      </c>
      <c r="B11" s="37" t="n">
        <f aca="false">Transport_Carbon!E11</f>
        <v>45</v>
      </c>
      <c r="C11" s="32" t="str">
        <f aca="false">Transport_Carbon!F11</f>
        <v>Truck</v>
      </c>
      <c r="D11" s="34" t="n">
        <f aca="false">Transport_Carbon!G11</f>
        <v>400</v>
      </c>
      <c r="E11" s="45" t="n">
        <v>1.35</v>
      </c>
      <c r="F11" s="21" t="n">
        <f aca="false">B11*D11*E11</f>
        <v>24300</v>
      </c>
    </row>
    <row r="12" customFormat="false" ht="15" hidden="false" customHeight="false" outlineLevel="0" collapsed="false">
      <c r="A12" s="31" t="str">
        <f aca="false">Transport_Carbon!A12</f>
        <v>Aluminium (avg. 33% recycled)</v>
      </c>
      <c r="B12" s="37" t="n">
        <f aca="false">Transport_Carbon!E12</f>
        <v>20</v>
      </c>
      <c r="C12" s="32" t="str">
        <f aca="false">Transport_Carbon!F12</f>
        <v>Truck</v>
      </c>
      <c r="D12" s="34" t="n">
        <f aca="false">Transport_Carbon!G12</f>
        <v>400</v>
      </c>
      <c r="E12" s="45" t="n">
        <v>1.35</v>
      </c>
      <c r="F12" s="21" t="n">
        <f aca="false">B12*D12*E12</f>
        <v>10800</v>
      </c>
    </row>
    <row r="13" customFormat="false" ht="15" hidden="false" customHeight="false" outlineLevel="0" collapsed="false">
      <c r="A13" s="31" t="str">
        <f aca="false">Transport_Carbon!A13</f>
        <v>Timber (sawn softwood)</v>
      </c>
      <c r="B13" s="37" t="n">
        <f aca="false">Transport_Carbon!E13</f>
        <v>55</v>
      </c>
      <c r="C13" s="32" t="str">
        <f aca="false">Transport_Carbon!F13</f>
        <v>Truck</v>
      </c>
      <c r="D13" s="34" t="n">
        <f aca="false">Transport_Carbon!G13</f>
        <v>400</v>
      </c>
      <c r="E13" s="45" t="n">
        <v>1.35</v>
      </c>
      <c r="F13" s="21" t="n">
        <f aca="false">B13*D13*E13</f>
        <v>29700</v>
      </c>
    </row>
    <row r="14" customFormat="false" ht="15" hidden="false" customHeight="false" outlineLevel="0" collapsed="false">
      <c r="A14" s="31" t="str">
        <f aca="false">Transport_Carbon!A14</f>
        <v>Ceramic Tiles</v>
      </c>
      <c r="B14" s="37" t="n">
        <f aca="false">Transport_Carbon!E14</f>
        <v>216</v>
      </c>
      <c r="C14" s="32" t="str">
        <f aca="false">Transport_Carbon!F14</f>
        <v>Truck</v>
      </c>
      <c r="D14" s="34" t="n">
        <f aca="false">Transport_Carbon!G14</f>
        <v>400</v>
      </c>
      <c r="E14" s="45" t="n">
        <v>1.35</v>
      </c>
      <c r="F14" s="21" t="n">
        <f aca="false">B14*D14*E14</f>
        <v>116640</v>
      </c>
    </row>
    <row r="15" customFormat="false" ht="15" hidden="false" customHeight="false" outlineLevel="0" collapsed="false">
      <c r="A15" s="31" t="str">
        <f aca="false">Transport_Carbon!A15</f>
        <v>Paint (water-based emulsion)</v>
      </c>
      <c r="B15" s="37" t="n">
        <f aca="false">Transport_Carbon!E15</f>
        <v>1.95</v>
      </c>
      <c r="C15" s="32" t="str">
        <f aca="false">Transport_Carbon!F15</f>
        <v>Truck</v>
      </c>
      <c r="D15" s="34" t="n">
        <f aca="false">Transport_Carbon!G15</f>
        <v>400</v>
      </c>
      <c r="E15" s="45" t="n">
        <v>1.35</v>
      </c>
      <c r="F15" s="21" t="n">
        <f aca="false">B15*D15*E15</f>
        <v>1053</v>
      </c>
    </row>
    <row r="16" customFormat="false" ht="15" hidden="false" customHeight="false" outlineLevel="0" collapsed="false">
      <c r="A16" s="31" t="str">
        <f aca="false">Transport_Carbon!A16</f>
        <v>XPS/EPS Insulation Board</v>
      </c>
      <c r="B16" s="37" t="n">
        <f aca="false">Transport_Carbon!E16</f>
        <v>1.5</v>
      </c>
      <c r="C16" s="32" t="str">
        <f aca="false">Transport_Carbon!F16</f>
        <v>Truck</v>
      </c>
      <c r="D16" s="34" t="n">
        <f aca="false">Transport_Carbon!G16</f>
        <v>400</v>
      </c>
      <c r="E16" s="45" t="n">
        <v>1.35</v>
      </c>
      <c r="F16" s="21" t="n">
        <f aca="false">B16*D16*E16</f>
        <v>810</v>
      </c>
    </row>
    <row r="17" customFormat="false" ht="15" hidden="false" customHeight="false" outlineLevel="0" collapsed="false">
      <c r="A17" s="31" t="str">
        <f aca="false">Transport_Carbon!A17</f>
        <v>Cement Plaster/Mortar (1:4)</v>
      </c>
      <c r="B17" s="37" t="n">
        <f aca="false">Transport_Carbon!E17</f>
        <v>300</v>
      </c>
      <c r="C17" s="32" t="str">
        <f aca="false">Transport_Carbon!F17</f>
        <v>Truck</v>
      </c>
      <c r="D17" s="34" t="n">
        <f aca="false">Transport_Carbon!G17</f>
        <v>400</v>
      </c>
      <c r="E17" s="45" t="n">
        <v>1.35</v>
      </c>
      <c r="F17" s="21" t="n">
        <f aca="false">B17*D17*E17</f>
        <v>162000</v>
      </c>
    </row>
    <row r="18" customFormat="false" ht="15" hidden="false" customHeight="false" outlineLevel="0" collapsed="false">
      <c r="A18" s="11" t="s">
        <v>93</v>
      </c>
      <c r="B18" s="28"/>
      <c r="C18" s="28"/>
      <c r="D18" s="28"/>
      <c r="E18" s="28"/>
      <c r="F18" s="12" t="n">
        <f aca="false">SUM(F4:F17)</f>
        <v>3798603</v>
      </c>
    </row>
    <row r="20" customFormat="false" ht="15" hidden="false" customHeight="false" outlineLevel="0" collapsed="false">
      <c r="A20" s="23" t="s">
        <v>241</v>
      </c>
      <c r="B20" s="23"/>
      <c r="C20" s="23"/>
      <c r="D20" s="23"/>
      <c r="E20" s="23"/>
      <c r="F20" s="23"/>
    </row>
  </sheetData>
  <mergeCells count="3">
    <mergeCell ref="A1:F1"/>
    <mergeCell ref="A2:F2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22"/>
  </cols>
  <sheetData>
    <row r="1" customFormat="false" ht="30" hidden="false" customHeight="true" outlineLevel="0" collapsed="false">
      <c r="A1" s="43" t="s">
        <v>242</v>
      </c>
      <c r="B1" s="43"/>
      <c r="C1" s="43"/>
      <c r="D1" s="43"/>
    </row>
    <row r="2" customFormat="false" ht="15" hidden="false" customHeight="false" outlineLevel="0" collapsed="false">
      <c r="A2" s="2" t="s">
        <v>243</v>
      </c>
      <c r="B2" s="2"/>
      <c r="C2" s="2"/>
      <c r="D2" s="2"/>
    </row>
    <row r="3" customFormat="false" ht="33.75" hidden="false" customHeight="true" outlineLevel="0" collapsed="false">
      <c r="A3" s="44" t="s">
        <v>116</v>
      </c>
      <c r="B3" s="44" t="s">
        <v>244</v>
      </c>
      <c r="C3" s="44" t="s">
        <v>118</v>
      </c>
      <c r="D3" s="44" t="s">
        <v>245</v>
      </c>
    </row>
    <row r="4" customFormat="false" ht="15" hidden="false" customHeight="false" outlineLevel="0" collapsed="false">
      <c r="A4" s="4" t="s">
        <v>120</v>
      </c>
      <c r="B4" s="27" t="n">
        <v>40</v>
      </c>
      <c r="C4" s="34" t="n">
        <f aca="false">Dashboard!$B$7</f>
        <v>10000</v>
      </c>
      <c r="D4" s="21" t="n">
        <f aca="false">B4*C4</f>
        <v>400000</v>
      </c>
    </row>
    <row r="5" customFormat="false" ht="15" hidden="false" customHeight="false" outlineLevel="0" collapsed="false">
      <c r="A5" s="4" t="s">
        <v>121</v>
      </c>
      <c r="B5" s="27" t="n">
        <v>12</v>
      </c>
      <c r="C5" s="34" t="n">
        <f aca="false">Dashboard!$B$7</f>
        <v>10000</v>
      </c>
      <c r="D5" s="21" t="n">
        <f aca="false">B5*C5</f>
        <v>120000</v>
      </c>
    </row>
    <row r="6" customFormat="false" ht="15" hidden="false" customHeight="false" outlineLevel="0" collapsed="false">
      <c r="A6" s="4" t="s">
        <v>122</v>
      </c>
      <c r="B6" s="27" t="n">
        <v>45</v>
      </c>
      <c r="C6" s="34" t="n">
        <f aca="false">Dashboard!$B$7</f>
        <v>10000</v>
      </c>
      <c r="D6" s="21" t="n">
        <f aca="false">B6*C6</f>
        <v>450000</v>
      </c>
    </row>
    <row r="7" customFormat="false" ht="15" hidden="false" customHeight="false" outlineLevel="0" collapsed="false">
      <c r="A7" s="4" t="s">
        <v>123</v>
      </c>
      <c r="B7" s="27" t="n">
        <v>8</v>
      </c>
      <c r="C7" s="34" t="n">
        <f aca="false">Dashboard!$B$7</f>
        <v>10000</v>
      </c>
      <c r="D7" s="21" t="n">
        <f aca="false">B7*C7</f>
        <v>80000</v>
      </c>
    </row>
    <row r="8" customFormat="false" ht="15" hidden="false" customHeight="false" outlineLevel="0" collapsed="false">
      <c r="A8" s="4" t="s">
        <v>124</v>
      </c>
      <c r="B8" s="27" t="n">
        <v>18</v>
      </c>
      <c r="C8" s="34" t="n">
        <f aca="false">Dashboard!$B$7</f>
        <v>10000</v>
      </c>
      <c r="D8" s="21" t="n">
        <f aca="false">B8*C8</f>
        <v>180000</v>
      </c>
    </row>
    <row r="9" customFormat="false" ht="15" hidden="false" customHeight="false" outlineLevel="0" collapsed="false">
      <c r="A9" s="4" t="s">
        <v>125</v>
      </c>
      <c r="B9" s="27" t="n">
        <v>10</v>
      </c>
      <c r="C9" s="34" t="n">
        <f aca="false">Dashboard!$B$7</f>
        <v>10000</v>
      </c>
      <c r="D9" s="21" t="n">
        <f aca="false">B9*C9</f>
        <v>100000</v>
      </c>
    </row>
    <row r="10" customFormat="false" ht="15" hidden="false" customHeight="false" outlineLevel="0" collapsed="false">
      <c r="A10" s="4" t="s">
        <v>126</v>
      </c>
      <c r="B10" s="27" t="n">
        <v>15</v>
      </c>
      <c r="C10" s="34" t="n">
        <f aca="false">Dashboard!$B$7</f>
        <v>10000</v>
      </c>
      <c r="D10" s="21" t="n">
        <f aca="false">B10*C10</f>
        <v>150000</v>
      </c>
    </row>
    <row r="11" customFormat="false" ht="15" hidden="false" customHeight="false" outlineLevel="0" collapsed="false">
      <c r="A11" s="4" t="s">
        <v>127</v>
      </c>
      <c r="B11" s="27" t="n">
        <v>70</v>
      </c>
      <c r="C11" s="34" t="n">
        <f aca="false">Dashboard!$B$7</f>
        <v>10000</v>
      </c>
      <c r="D11" s="21" t="n">
        <f aca="false">B11*C11</f>
        <v>700000</v>
      </c>
    </row>
    <row r="12" customFormat="false" ht="15" hidden="false" customHeight="false" outlineLevel="0" collapsed="false">
      <c r="A12" s="4" t="s">
        <v>128</v>
      </c>
      <c r="B12" s="27" t="n">
        <v>8</v>
      </c>
      <c r="C12" s="34" t="n">
        <f aca="false">Dashboard!$B$7</f>
        <v>10000</v>
      </c>
      <c r="D12" s="21" t="n">
        <f aca="false">B12*C12</f>
        <v>80000</v>
      </c>
    </row>
    <row r="13" customFormat="false" ht="15" hidden="false" customHeight="false" outlineLevel="0" collapsed="false">
      <c r="A13" s="4" t="s">
        <v>129</v>
      </c>
      <c r="B13" s="27" t="n">
        <v>12</v>
      </c>
      <c r="C13" s="34" t="n">
        <f aca="false">Dashboard!$B$7</f>
        <v>10000</v>
      </c>
      <c r="D13" s="21" t="n">
        <f aca="false">B13*C13</f>
        <v>120000</v>
      </c>
    </row>
    <row r="14" customFormat="false" ht="15" hidden="false" customHeight="false" outlineLevel="0" collapsed="false">
      <c r="A14" s="4" t="s">
        <v>130</v>
      </c>
      <c r="B14" s="27" t="n">
        <v>6</v>
      </c>
      <c r="C14" s="34" t="n">
        <f aca="false">Dashboard!$B$7</f>
        <v>10000</v>
      </c>
      <c r="D14" s="21" t="n">
        <f aca="false">B14*C14</f>
        <v>60000</v>
      </c>
    </row>
    <row r="15" customFormat="false" ht="15" hidden="false" customHeight="false" outlineLevel="0" collapsed="false">
      <c r="A15" s="4" t="s">
        <v>131</v>
      </c>
      <c r="B15" s="27" t="n">
        <v>10</v>
      </c>
      <c r="C15" s="34" t="n">
        <f aca="false">Dashboard!$B$7</f>
        <v>10000</v>
      </c>
      <c r="D15" s="21" t="n">
        <f aca="false">B15*C15</f>
        <v>100000</v>
      </c>
    </row>
    <row r="16" customFormat="false" ht="15" hidden="false" customHeight="false" outlineLevel="0" collapsed="false">
      <c r="A16" s="4" t="s">
        <v>132</v>
      </c>
      <c r="B16" s="27" t="n">
        <v>12</v>
      </c>
      <c r="C16" s="34" t="n">
        <f aca="false">Dashboard!$B$7</f>
        <v>10000</v>
      </c>
      <c r="D16" s="21" t="n">
        <f aca="false">B16*C16</f>
        <v>120000</v>
      </c>
    </row>
    <row r="17" customFormat="false" ht="15" hidden="false" customHeight="false" outlineLevel="0" collapsed="false">
      <c r="A17" s="4" t="s">
        <v>133</v>
      </c>
      <c r="B17" s="27" t="n">
        <v>5</v>
      </c>
      <c r="C17" s="34" t="n">
        <f aca="false">Dashboard!$B$7</f>
        <v>10000</v>
      </c>
      <c r="D17" s="21" t="n">
        <f aca="false">B17*C17</f>
        <v>50000</v>
      </c>
    </row>
    <row r="18" customFormat="false" ht="15" hidden="false" customHeight="false" outlineLevel="0" collapsed="false">
      <c r="A18" s="11" t="s">
        <v>93</v>
      </c>
      <c r="B18" s="13" t="n">
        <f aca="false">SUM(B4:B17)</f>
        <v>271</v>
      </c>
      <c r="C18" s="22"/>
      <c r="D18" s="12" t="n">
        <f aca="false">SUM(D4:D17)</f>
        <v>2710000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6" min="3" style="0" width="18"/>
    <col collapsed="false" customWidth="true" hidden="false" outlineLevel="0" max="7" min="7" style="0" width="14"/>
  </cols>
  <sheetData>
    <row r="1" customFormat="false" ht="30" hidden="false" customHeight="true" outlineLevel="0" collapsed="false">
      <c r="A1" s="46" t="s">
        <v>246</v>
      </c>
      <c r="B1" s="46"/>
      <c r="C1" s="46"/>
      <c r="D1" s="46"/>
      <c r="E1" s="46"/>
      <c r="F1" s="46"/>
      <c r="G1" s="46"/>
    </row>
    <row r="2" customFormat="false" ht="15" hidden="false" customHeight="false" outlineLevel="0" collapsed="false">
      <c r="A2" s="2" t="s">
        <v>247</v>
      </c>
      <c r="B2" s="2"/>
      <c r="C2" s="2"/>
      <c r="D2" s="2"/>
      <c r="E2" s="2"/>
      <c r="F2" s="2"/>
      <c r="G2" s="2"/>
    </row>
    <row r="4" customFormat="false" ht="33.75" hidden="false" customHeight="true" outlineLevel="0" collapsed="false">
      <c r="A4" s="47" t="s">
        <v>248</v>
      </c>
      <c r="B4" s="47" t="s">
        <v>249</v>
      </c>
      <c r="C4" s="47" t="s">
        <v>250</v>
      </c>
      <c r="D4" s="47" t="s">
        <v>251</v>
      </c>
      <c r="E4" s="47" t="s">
        <v>179</v>
      </c>
      <c r="F4" s="47" t="s">
        <v>252</v>
      </c>
      <c r="G4" s="47" t="s">
        <v>253</v>
      </c>
    </row>
    <row r="5" customFormat="false" ht="15" hidden="false" customHeight="false" outlineLevel="0" collapsed="false">
      <c r="A5" s="4" t="s">
        <v>254</v>
      </c>
      <c r="B5" s="27" t="n">
        <v>8</v>
      </c>
      <c r="C5" s="6" t="n">
        <v>3000</v>
      </c>
      <c r="D5" s="45" t="n">
        <v>0.7</v>
      </c>
      <c r="E5" s="34" t="n">
        <f aca="false">Dashboard!$B$7</f>
        <v>10000</v>
      </c>
      <c r="F5" s="21" t="n">
        <f aca="false">B5*E5/1000*C5*D5</f>
        <v>168000</v>
      </c>
      <c r="G5" s="48" t="n">
        <f aca="false">F5/$F$11</f>
        <v>0.140526976160602</v>
      </c>
    </row>
    <row r="6" customFormat="false" ht="15" hidden="false" customHeight="false" outlineLevel="0" collapsed="false">
      <c r="A6" s="4" t="s">
        <v>255</v>
      </c>
      <c r="B6" s="27" t="n">
        <v>40</v>
      </c>
      <c r="C6" s="6" t="n">
        <v>3000</v>
      </c>
      <c r="D6" s="45" t="n">
        <v>0.6</v>
      </c>
      <c r="E6" s="34" t="n">
        <f aca="false">Dashboard!$B$7</f>
        <v>10000</v>
      </c>
      <c r="F6" s="21" t="n">
        <f aca="false">B6*E6/1000*C6*D6</f>
        <v>720000</v>
      </c>
      <c r="G6" s="48" t="n">
        <f aca="false">F6/$F$11</f>
        <v>0.602258469259724</v>
      </c>
    </row>
    <row r="7" customFormat="false" ht="15" hidden="false" customHeight="false" outlineLevel="0" collapsed="false">
      <c r="A7" s="4" t="s">
        <v>256</v>
      </c>
      <c r="B7" s="27" t="n">
        <v>15</v>
      </c>
      <c r="C7" s="6" t="n">
        <v>2500</v>
      </c>
      <c r="D7" s="45" t="n">
        <v>0.5</v>
      </c>
      <c r="E7" s="34" t="n">
        <f aca="false">Dashboard!$B$7</f>
        <v>10000</v>
      </c>
      <c r="F7" s="21" t="n">
        <f aca="false">B7*E7/1000*C7*D7</f>
        <v>187500</v>
      </c>
      <c r="G7" s="48" t="n">
        <f aca="false">F7/$F$11</f>
        <v>0.156838143036386</v>
      </c>
    </row>
    <row r="8" customFormat="false" ht="15" hidden="false" customHeight="false" outlineLevel="0" collapsed="false">
      <c r="A8" s="4" t="s">
        <v>257</v>
      </c>
      <c r="B8" s="27" t="n">
        <v>2</v>
      </c>
      <c r="C8" s="6" t="n">
        <v>2000</v>
      </c>
      <c r="D8" s="45" t="n">
        <v>0.3</v>
      </c>
      <c r="E8" s="34" t="n">
        <f aca="false">Dashboard!$B$7</f>
        <v>10000</v>
      </c>
      <c r="F8" s="21" t="n">
        <f aca="false">B8*E8/1000*C8*D8</f>
        <v>12000</v>
      </c>
      <c r="G8" s="48" t="n">
        <f aca="false">F8/$F$11</f>
        <v>0.0100376411543287</v>
      </c>
    </row>
    <row r="9" customFormat="false" ht="15" hidden="false" customHeight="false" outlineLevel="0" collapsed="false">
      <c r="A9" s="4" t="s">
        <v>258</v>
      </c>
      <c r="B9" s="27" t="n">
        <v>1.5</v>
      </c>
      <c r="C9" s="6" t="n">
        <v>2000</v>
      </c>
      <c r="D9" s="45" t="n">
        <v>0.4</v>
      </c>
      <c r="E9" s="34" t="n">
        <f aca="false">Dashboard!$B$7</f>
        <v>10000</v>
      </c>
      <c r="F9" s="21" t="n">
        <f aca="false">B9*E9/1000*C9*D9</f>
        <v>12000</v>
      </c>
      <c r="G9" s="48" t="n">
        <f aca="false">F9/$F$11</f>
        <v>0.0100376411543287</v>
      </c>
    </row>
    <row r="10" customFormat="false" ht="15" hidden="false" customHeight="false" outlineLevel="0" collapsed="false">
      <c r="A10" s="4" t="s">
        <v>259</v>
      </c>
      <c r="B10" s="27" t="n">
        <v>3</v>
      </c>
      <c r="C10" s="6" t="n">
        <v>4000</v>
      </c>
      <c r="D10" s="45" t="n">
        <v>0.8</v>
      </c>
      <c r="E10" s="34" t="n">
        <f aca="false">Dashboard!$B$7</f>
        <v>10000</v>
      </c>
      <c r="F10" s="21" t="n">
        <f aca="false">B10*E10/1000*C10*D10</f>
        <v>96000</v>
      </c>
      <c r="G10" s="48" t="n">
        <f aca="false">F10/$F$11</f>
        <v>0.0803011292346299</v>
      </c>
    </row>
    <row r="11" customFormat="false" ht="15" hidden="false" customHeight="false" outlineLevel="0" collapsed="false">
      <c r="A11" s="11" t="s">
        <v>260</v>
      </c>
      <c r="B11" s="28"/>
      <c r="C11" s="28"/>
      <c r="D11" s="28"/>
      <c r="E11" s="28"/>
      <c r="F11" s="12" t="n">
        <f aca="false">SUM(F5:F10)</f>
        <v>1195500</v>
      </c>
      <c r="G11" s="49" t="n">
        <f aca="false">SUM(G5:G10)</f>
        <v>1</v>
      </c>
    </row>
    <row r="22" customFormat="false" ht="15" hidden="false" customHeight="false" outlineLevel="0" collapsed="false">
      <c r="A22" s="23" t="s">
        <v>261</v>
      </c>
      <c r="B22" s="23"/>
      <c r="C22" s="23"/>
      <c r="D22" s="23"/>
      <c r="E22" s="23"/>
      <c r="F22" s="23"/>
      <c r="G22" s="23"/>
    </row>
  </sheetData>
  <mergeCells count="3">
    <mergeCell ref="A1:G1"/>
    <mergeCell ref="A2:G2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20"/>
    <col collapsed="false" customWidth="true" hidden="false" outlineLevel="0" max="4" min="4" style="0" width="24"/>
  </cols>
  <sheetData>
    <row r="1" customFormat="false" ht="30" hidden="false" customHeight="true" outlineLevel="0" collapsed="false">
      <c r="A1" s="46" t="s">
        <v>262</v>
      </c>
      <c r="B1" s="46"/>
      <c r="C1" s="46"/>
      <c r="D1" s="46"/>
    </row>
    <row r="2" customFormat="false" ht="15" hidden="false" customHeight="false" outlineLevel="0" collapsed="false">
      <c r="A2" s="2" t="s">
        <v>263</v>
      </c>
      <c r="B2" s="2"/>
      <c r="C2" s="2"/>
      <c r="D2" s="2"/>
    </row>
    <row r="4" customFormat="false" ht="15" hidden="false" customHeight="false" outlineLevel="0" collapsed="false">
      <c r="A4" s="50" t="s">
        <v>264</v>
      </c>
      <c r="B4" s="50"/>
    </row>
    <row r="5" customFormat="false" ht="33.75" hidden="false" customHeight="true" outlineLevel="0" collapsed="false">
      <c r="A5" s="47" t="s">
        <v>265</v>
      </c>
      <c r="B5" s="47" t="s">
        <v>266</v>
      </c>
    </row>
    <row r="6" customFormat="false" ht="15" hidden="false" customHeight="false" outlineLevel="0" collapsed="false">
      <c r="A6" s="51" t="s">
        <v>267</v>
      </c>
      <c r="B6" s="52" t="n">
        <v>150</v>
      </c>
    </row>
    <row r="7" customFormat="false" ht="15" hidden="false" customHeight="false" outlineLevel="0" collapsed="false">
      <c r="A7" s="51" t="s">
        <v>268</v>
      </c>
      <c r="B7" s="52" t="n">
        <v>90</v>
      </c>
    </row>
    <row r="8" customFormat="false" ht="15" hidden="false" customHeight="false" outlineLevel="0" collapsed="false">
      <c r="A8" s="51" t="s">
        <v>269</v>
      </c>
      <c r="B8" s="52" t="n">
        <v>180</v>
      </c>
    </row>
    <row r="9" customFormat="false" ht="15" hidden="false" customHeight="false" outlineLevel="0" collapsed="false">
      <c r="A9" s="51" t="s">
        <v>270</v>
      </c>
      <c r="B9" s="52" t="n">
        <v>250</v>
      </c>
    </row>
    <row r="10" customFormat="false" ht="15" hidden="false" customHeight="false" outlineLevel="0" collapsed="false">
      <c r="A10" s="51" t="s">
        <v>271</v>
      </c>
      <c r="B10" s="52" t="n">
        <v>220</v>
      </c>
    </row>
    <row r="12" customFormat="false" ht="15" hidden="false" customHeight="false" outlineLevel="0" collapsed="false">
      <c r="A12" s="3" t="s">
        <v>272</v>
      </c>
      <c r="B12" s="3"/>
      <c r="C12" s="3"/>
      <c r="D12" s="3"/>
    </row>
    <row r="13" customFormat="false" ht="33.75" hidden="false" customHeight="true" outlineLevel="0" collapsed="false">
      <c r="A13" s="47" t="s">
        <v>273</v>
      </c>
      <c r="B13" s="47" t="s">
        <v>274</v>
      </c>
      <c r="C13" s="47" t="s">
        <v>179</v>
      </c>
      <c r="D13" s="47" t="s">
        <v>275</v>
      </c>
    </row>
    <row r="14" customFormat="false" ht="15" hidden="false" customHeight="false" outlineLevel="0" collapsed="false">
      <c r="A14" s="7" t="s">
        <v>267</v>
      </c>
      <c r="B14" s="6" t="n">
        <v>150</v>
      </c>
      <c r="C14" s="34" t="n">
        <f aca="false">Dashboard!$B$7</f>
        <v>10000</v>
      </c>
      <c r="D14" s="21" t="n">
        <f aca="false">B14*C14</f>
        <v>1500000</v>
      </c>
    </row>
    <row r="16" customFormat="false" ht="15" hidden="false" customHeight="false" outlineLevel="0" collapsed="false">
      <c r="A16" s="23" t="s">
        <v>276</v>
      </c>
      <c r="B16" s="23"/>
      <c r="C16" s="23"/>
      <c r="D16" s="23"/>
    </row>
  </sheetData>
  <mergeCells count="5">
    <mergeCell ref="A1:D1"/>
    <mergeCell ref="A2:D2"/>
    <mergeCell ref="A4:B4"/>
    <mergeCell ref="A12:D12"/>
    <mergeCell ref="A16:D16"/>
  </mergeCells>
  <dataValidations count="1">
    <dataValidation allowBlank="false" errorStyle="stop" operator="between" showDropDown="false" showErrorMessage="false" showInputMessage="false" sqref="A14" type="list">
      <formula1>"Office,Residential,Retail,Healthcare,Hospitality"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30" hidden="false" customHeight="true" outlineLevel="0" collapsed="false">
      <c r="A1" s="53" t="s">
        <v>277</v>
      </c>
      <c r="B1" s="53"/>
      <c r="C1" s="53"/>
      <c r="D1" s="53"/>
      <c r="E1" s="53"/>
      <c r="F1" s="53"/>
      <c r="G1" s="53"/>
    </row>
    <row r="2" customFormat="false" ht="15" hidden="false" customHeight="false" outlineLevel="0" collapsed="false">
      <c r="A2" s="2" t="s">
        <v>278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18" t="s">
        <v>173</v>
      </c>
      <c r="B4" s="34" t="n">
        <f aca="false">Dashboard!$B$8</f>
        <v>50</v>
      </c>
    </row>
    <row r="6" customFormat="false" ht="33.75" hidden="false" customHeight="true" outlineLevel="0" collapsed="false">
      <c r="A6" s="54" t="s">
        <v>174</v>
      </c>
      <c r="B6" s="54" t="s">
        <v>175</v>
      </c>
      <c r="C6" s="54" t="s">
        <v>176</v>
      </c>
      <c r="D6" s="54" t="s">
        <v>279</v>
      </c>
      <c r="E6" s="54" t="s">
        <v>178</v>
      </c>
      <c r="F6" s="54" t="s">
        <v>179</v>
      </c>
      <c r="G6" s="54" t="s">
        <v>245</v>
      </c>
    </row>
    <row r="7" customFormat="false" ht="15" hidden="false" customHeight="false" outlineLevel="0" collapsed="false">
      <c r="A7" s="4" t="s">
        <v>182</v>
      </c>
      <c r="B7" s="4" t="s">
        <v>183</v>
      </c>
      <c r="C7" s="6" t="n">
        <v>1</v>
      </c>
      <c r="D7" s="27" t="n">
        <v>5</v>
      </c>
      <c r="E7" s="41" t="n">
        <f aca="false">ROUNDDOWN($B$4/C7,0)</f>
        <v>50</v>
      </c>
      <c r="F7" s="34" t="n">
        <f aca="false">Dashboard!$B$7</f>
        <v>10000</v>
      </c>
      <c r="G7" s="21" t="n">
        <f aca="false">D7*E7*F7</f>
        <v>2500000</v>
      </c>
    </row>
    <row r="8" customFormat="false" ht="15" hidden="false" customHeight="false" outlineLevel="0" collapsed="false">
      <c r="A8" s="4" t="s">
        <v>184</v>
      </c>
      <c r="B8" s="4" t="s">
        <v>185</v>
      </c>
      <c r="C8" s="6" t="n">
        <v>10</v>
      </c>
      <c r="D8" s="27" t="n">
        <v>15</v>
      </c>
      <c r="E8" s="41" t="n">
        <f aca="false">ROUNDDOWN($B$4/C8,0)</f>
        <v>5</v>
      </c>
      <c r="F8" s="34" t="n">
        <f aca="false">Dashboard!$B$7</f>
        <v>10000</v>
      </c>
      <c r="G8" s="21" t="n">
        <f aca="false">D8*E8*F8</f>
        <v>750000</v>
      </c>
    </row>
    <row r="9" customFormat="false" ht="15" hidden="false" customHeight="false" outlineLevel="0" collapsed="false">
      <c r="A9" s="4" t="s">
        <v>186</v>
      </c>
      <c r="B9" s="4" t="s">
        <v>187</v>
      </c>
      <c r="C9" s="6" t="n">
        <v>7</v>
      </c>
      <c r="D9" s="27" t="n">
        <v>40</v>
      </c>
      <c r="E9" s="41" t="n">
        <f aca="false">ROUNDDOWN($B$4/C9,0)</f>
        <v>7</v>
      </c>
      <c r="F9" s="34" t="n">
        <f aca="false">Dashboard!$B$7</f>
        <v>10000</v>
      </c>
      <c r="G9" s="21" t="n">
        <f aca="false">D9*E9*F9</f>
        <v>2800000</v>
      </c>
    </row>
    <row r="10" customFormat="false" ht="15" hidden="false" customHeight="false" outlineLevel="0" collapsed="false">
      <c r="A10" s="4" t="s">
        <v>186</v>
      </c>
      <c r="B10" s="4" t="s">
        <v>188</v>
      </c>
      <c r="C10" s="6" t="n">
        <v>15</v>
      </c>
      <c r="D10" s="27" t="n">
        <v>20</v>
      </c>
      <c r="E10" s="41" t="n">
        <f aca="false">ROUNDDOWN($B$4/C10,0)</f>
        <v>3</v>
      </c>
      <c r="F10" s="34" t="n">
        <f aca="false">Dashboard!$B$7</f>
        <v>10000</v>
      </c>
      <c r="G10" s="21" t="n">
        <f aca="false">D10*E10*F10</f>
        <v>600000</v>
      </c>
    </row>
    <row r="11" customFormat="false" ht="15" hidden="false" customHeight="false" outlineLevel="0" collapsed="false">
      <c r="A11" s="4" t="s">
        <v>186</v>
      </c>
      <c r="B11" s="4" t="s">
        <v>189</v>
      </c>
      <c r="C11" s="6" t="n">
        <v>20</v>
      </c>
      <c r="D11" s="27" t="n">
        <v>60</v>
      </c>
      <c r="E11" s="41" t="n">
        <f aca="false">ROUNDDOWN($B$4/C11,0)</f>
        <v>2</v>
      </c>
      <c r="F11" s="34" t="n">
        <f aca="false">Dashboard!$B$7</f>
        <v>10000</v>
      </c>
      <c r="G11" s="21" t="n">
        <f aca="false">D11*E11*F11</f>
        <v>1200000</v>
      </c>
    </row>
    <row r="12" customFormat="false" ht="15" hidden="false" customHeight="false" outlineLevel="0" collapsed="false">
      <c r="A12" s="4" t="s">
        <v>186</v>
      </c>
      <c r="B12" s="4" t="s">
        <v>280</v>
      </c>
      <c r="C12" s="6" t="n">
        <v>15</v>
      </c>
      <c r="D12" s="27" t="n">
        <v>80</v>
      </c>
      <c r="E12" s="41" t="n">
        <f aca="false">ROUNDDOWN($B$4/C12,0)</f>
        <v>3</v>
      </c>
      <c r="F12" s="34" t="n">
        <f aca="false">Dashboard!$B$7</f>
        <v>10000</v>
      </c>
      <c r="G12" s="21" t="n">
        <f aca="false">D12*E12*F12</f>
        <v>2400000</v>
      </c>
    </row>
    <row r="13" customFormat="false" ht="15" hidden="false" customHeight="false" outlineLevel="0" collapsed="false">
      <c r="A13" s="4" t="s">
        <v>190</v>
      </c>
      <c r="B13" s="4" t="s">
        <v>191</v>
      </c>
      <c r="C13" s="6" t="n">
        <v>30</v>
      </c>
      <c r="D13" s="27" t="n">
        <v>150</v>
      </c>
      <c r="E13" s="41" t="n">
        <f aca="false">ROUNDDOWN($B$4/C13,0)</f>
        <v>1</v>
      </c>
      <c r="F13" s="34" t="n">
        <f aca="false">Dashboard!$B$7</f>
        <v>10000</v>
      </c>
      <c r="G13" s="21" t="n">
        <f aca="false">D13*E13*F13</f>
        <v>1500000</v>
      </c>
    </row>
    <row r="14" customFormat="false" ht="15" hidden="false" customHeight="false" outlineLevel="0" collapsed="false">
      <c r="A14" s="11" t="s">
        <v>281</v>
      </c>
      <c r="B14" s="28"/>
      <c r="C14" s="28"/>
      <c r="D14" s="28"/>
      <c r="E14" s="28"/>
      <c r="F14" s="28"/>
      <c r="G14" s="12" t="n">
        <f aca="false">SUM(G7:G13)</f>
        <v>11750000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6" min="4" style="0" width="18"/>
  </cols>
  <sheetData>
    <row r="1" customFormat="false" ht="30" hidden="false" customHeight="true" outlineLevel="0" collapsed="false">
      <c r="A1" s="53" t="s">
        <v>282</v>
      </c>
      <c r="B1" s="53"/>
      <c r="C1" s="53"/>
      <c r="D1" s="53"/>
      <c r="E1" s="53"/>
      <c r="F1" s="53"/>
    </row>
    <row r="2" customFormat="false" ht="15" hidden="false" customHeight="false" outlineLevel="0" collapsed="false">
      <c r="A2" s="2" t="s">
        <v>283</v>
      </c>
      <c r="B2" s="2"/>
      <c r="C2" s="2"/>
      <c r="D2" s="2"/>
      <c r="E2" s="2"/>
      <c r="F2" s="2"/>
    </row>
    <row r="3" customFormat="false" ht="33.75" hidden="false" customHeight="true" outlineLevel="0" collapsed="false">
      <c r="A3" s="54" t="s">
        <v>174</v>
      </c>
      <c r="B3" s="54" t="s">
        <v>175</v>
      </c>
      <c r="C3" s="54" t="s">
        <v>244</v>
      </c>
      <c r="D3" s="54" t="s">
        <v>179</v>
      </c>
      <c r="E3" s="54" t="s">
        <v>245</v>
      </c>
    </row>
    <row r="4" customFormat="false" ht="15" hidden="false" customHeight="false" outlineLevel="0" collapsed="false">
      <c r="A4" s="4" t="s">
        <v>195</v>
      </c>
      <c r="B4" s="4" t="s">
        <v>284</v>
      </c>
      <c r="C4" s="27" t="n">
        <v>60</v>
      </c>
      <c r="D4" s="34" t="n">
        <f aca="false">Dashboard!$B$7</f>
        <v>10000</v>
      </c>
      <c r="E4" s="21" t="n">
        <f aca="false">C4*D4</f>
        <v>600000</v>
      </c>
    </row>
    <row r="5" customFormat="false" ht="15" hidden="false" customHeight="false" outlineLevel="0" collapsed="false">
      <c r="A5" s="4" t="s">
        <v>197</v>
      </c>
      <c r="B5" s="4" t="s">
        <v>198</v>
      </c>
      <c r="C5" s="27" t="n">
        <v>25</v>
      </c>
      <c r="D5" s="34" t="n">
        <f aca="false">Dashboard!$B$7</f>
        <v>10000</v>
      </c>
      <c r="E5" s="21" t="n">
        <f aca="false">C5*D5</f>
        <v>250000</v>
      </c>
    </row>
    <row r="6" customFormat="false" ht="15" hidden="false" customHeight="false" outlineLevel="0" collapsed="false">
      <c r="A6" s="4" t="s">
        <v>199</v>
      </c>
      <c r="B6" s="4" t="s">
        <v>285</v>
      </c>
      <c r="C6" s="27" t="n">
        <v>70</v>
      </c>
      <c r="D6" s="34" t="n">
        <f aca="false">Dashboard!$B$7</f>
        <v>10000</v>
      </c>
      <c r="E6" s="21" t="n">
        <f aca="false">C6*D6</f>
        <v>700000</v>
      </c>
    </row>
    <row r="7" customFormat="false" ht="15" hidden="false" customHeight="false" outlineLevel="0" collapsed="false">
      <c r="A7" s="11" t="s">
        <v>201</v>
      </c>
      <c r="B7" s="28"/>
      <c r="C7" s="28"/>
      <c r="D7" s="28"/>
      <c r="E7" s="12" t="n">
        <f aca="false">SUM(E4:E6)</f>
        <v>1550000</v>
      </c>
    </row>
    <row r="9" customFormat="false" ht="15" hidden="false" customHeight="false" outlineLevel="0" collapsed="false">
      <c r="A9" s="42" t="s">
        <v>286</v>
      </c>
      <c r="B9" s="42"/>
      <c r="C9" s="42"/>
      <c r="D9" s="42"/>
      <c r="E9" s="42"/>
      <c r="F9" s="42"/>
    </row>
    <row r="10" customFormat="false" ht="33.75" hidden="false" customHeight="true" outlineLevel="0" collapsed="false">
      <c r="A10" s="54" t="s">
        <v>287</v>
      </c>
      <c r="B10" s="54" t="s">
        <v>288</v>
      </c>
      <c r="C10" s="54" t="s">
        <v>289</v>
      </c>
      <c r="D10" s="54" t="s">
        <v>165</v>
      </c>
      <c r="E10" s="54" t="s">
        <v>290</v>
      </c>
      <c r="F10" s="54" t="s">
        <v>240</v>
      </c>
    </row>
    <row r="11" customFormat="false" ht="15" hidden="false" customHeight="false" outlineLevel="0" collapsed="false">
      <c r="A11" s="31" t="str">
        <f aca="false">End_of_Life_Carbon!A11</f>
        <v>Demolition &amp; Construction Waste</v>
      </c>
      <c r="B11" s="55" t="n">
        <f aca="false">End_of_Life_Carbon!B11</f>
        <v>0.15</v>
      </c>
      <c r="C11" s="9" t="n">
        <f aca="false">End_of_Life_Carbon!C11</f>
        <v>1500</v>
      </c>
      <c r="D11" s="34" t="n">
        <f aca="false">End_of_Life_Carbon!D11</f>
        <v>50</v>
      </c>
      <c r="E11" s="45" t="n">
        <v>1.35</v>
      </c>
      <c r="F11" s="21" t="n">
        <f aca="false">C11*D11*E11</f>
        <v>101250</v>
      </c>
    </row>
    <row r="13" customFormat="false" ht="15" hidden="false" customHeight="false" outlineLevel="0" collapsed="false">
      <c r="A13" s="11" t="s">
        <v>291</v>
      </c>
      <c r="B13" s="28"/>
      <c r="C13" s="28"/>
      <c r="D13" s="28"/>
      <c r="E13" s="28"/>
      <c r="F13" s="12" t="n">
        <f aca="false">E7+F11</f>
        <v>1651250</v>
      </c>
    </row>
  </sheetData>
  <mergeCells count="3">
    <mergeCell ref="A1:F1"/>
    <mergeCell ref="A2:F2"/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5" min="4" style="0" width="18"/>
  </cols>
  <sheetData>
    <row r="1" customFormat="false" ht="30" hidden="false" customHeight="true" outlineLevel="0" collapsed="false">
      <c r="A1" s="53" t="s">
        <v>292</v>
      </c>
      <c r="B1" s="53"/>
      <c r="C1" s="53"/>
      <c r="D1" s="53"/>
      <c r="E1" s="53"/>
    </row>
    <row r="2" customFormat="false" ht="15" hidden="false" customHeight="false" outlineLevel="0" collapsed="false">
      <c r="A2" s="2" t="s">
        <v>293</v>
      </c>
      <c r="B2" s="2"/>
      <c r="C2" s="2"/>
      <c r="D2" s="2"/>
      <c r="E2" s="2"/>
    </row>
    <row r="4" customFormat="false" ht="33.75" hidden="false" customHeight="true" outlineLevel="0" collapsed="false">
      <c r="A4" s="54" t="s">
        <v>12</v>
      </c>
      <c r="B4" s="54" t="s">
        <v>175</v>
      </c>
      <c r="C4" s="54" t="s">
        <v>294</v>
      </c>
      <c r="D4" s="54" t="s">
        <v>179</v>
      </c>
      <c r="E4" s="54" t="s">
        <v>295</v>
      </c>
    </row>
    <row r="5" customFormat="false" ht="15" hidden="false" customHeight="false" outlineLevel="0" collapsed="false">
      <c r="A5" s="4" t="s">
        <v>213</v>
      </c>
      <c r="B5" s="4" t="s">
        <v>296</v>
      </c>
      <c r="C5" s="27" t="n">
        <v>-40</v>
      </c>
      <c r="D5" s="34" t="n">
        <f aca="false">Dashboard!$B$7</f>
        <v>10000</v>
      </c>
      <c r="E5" s="21" t="n">
        <f aca="false">C5*D5</f>
        <v>-400000</v>
      </c>
    </row>
    <row r="6" customFormat="false" ht="15" hidden="false" customHeight="false" outlineLevel="0" collapsed="false">
      <c r="A6" s="4" t="s">
        <v>215</v>
      </c>
      <c r="B6" s="4" t="s">
        <v>297</v>
      </c>
      <c r="C6" s="27" t="n">
        <v>-90</v>
      </c>
      <c r="D6" s="34" t="n">
        <f aca="false">Dashboard!$B$7</f>
        <v>10000</v>
      </c>
      <c r="E6" s="21" t="n">
        <f aca="false">C6*D6</f>
        <v>-900000</v>
      </c>
    </row>
    <row r="7" customFormat="false" ht="15" hidden="false" customHeight="false" outlineLevel="0" collapsed="false">
      <c r="A7" s="4" t="s">
        <v>217</v>
      </c>
      <c r="B7" s="4" t="s">
        <v>298</v>
      </c>
      <c r="C7" s="27" t="n">
        <v>-30</v>
      </c>
      <c r="D7" s="34" t="n">
        <f aca="false">Dashboard!$B$7</f>
        <v>10000</v>
      </c>
      <c r="E7" s="21" t="n">
        <f aca="false">C7*D7</f>
        <v>-300000</v>
      </c>
    </row>
    <row r="8" customFormat="false" ht="15" hidden="false" customHeight="false" outlineLevel="0" collapsed="false">
      <c r="A8" s="11" t="s">
        <v>299</v>
      </c>
      <c r="B8" s="28"/>
      <c r="C8" s="28"/>
      <c r="D8" s="28"/>
      <c r="E8" s="12" t="n">
        <f aca="false">SUM(E5:E7)</f>
        <v>-1600000</v>
      </c>
    </row>
    <row r="10" customFormat="false" ht="15" hidden="false" customHeight="false" outlineLevel="0" collapsed="false">
      <c r="A10" s="23" t="s">
        <v>300</v>
      </c>
      <c r="B10" s="23"/>
      <c r="C10" s="23"/>
      <c r="D10" s="23"/>
      <c r="E10" s="23"/>
    </row>
  </sheetData>
  <mergeCells count="3">
    <mergeCell ref="A1:E1"/>
    <mergeCell ref="A2:E2"/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4"/>
  </cols>
  <sheetData>
    <row r="1" customFormat="false" ht="30" hidden="false" customHeight="true" outlineLevel="0" collapsed="false">
      <c r="A1" s="1" t="s">
        <v>301</v>
      </c>
      <c r="B1" s="1"/>
    </row>
    <row r="3" customFormat="false" ht="15" hidden="false" customHeight="false" outlineLevel="0" collapsed="false">
      <c r="A3" s="3" t="s">
        <v>302</v>
      </c>
      <c r="B3" s="3"/>
    </row>
    <row r="4" customFormat="false" ht="18" hidden="false" customHeight="true" outlineLevel="0" collapsed="false">
      <c r="A4" s="18" t="s">
        <v>303</v>
      </c>
      <c r="B4" s="4" t="s">
        <v>304</v>
      </c>
    </row>
    <row r="5" customFormat="false" ht="18" hidden="false" customHeight="true" outlineLevel="0" collapsed="false">
      <c r="A5" s="18" t="s">
        <v>305</v>
      </c>
      <c r="B5" s="4" t="s">
        <v>306</v>
      </c>
    </row>
    <row r="6" customFormat="false" ht="18" hidden="false" customHeight="true" outlineLevel="0" collapsed="false">
      <c r="A6" s="18" t="s">
        <v>307</v>
      </c>
      <c r="B6" s="4" t="s">
        <v>308</v>
      </c>
    </row>
    <row r="7" customFormat="false" ht="18" hidden="false" customHeight="true" outlineLevel="0" collapsed="false">
      <c r="A7" s="18" t="s">
        <v>309</v>
      </c>
      <c r="B7" s="4" t="s">
        <v>310</v>
      </c>
    </row>
    <row r="8" customFormat="false" ht="18" hidden="false" customHeight="true" outlineLevel="0" collapsed="false">
      <c r="A8" s="18" t="s">
        <v>311</v>
      </c>
      <c r="B8" s="4" t="s">
        <v>312</v>
      </c>
    </row>
    <row r="9" customFormat="false" ht="18" hidden="false" customHeight="true" outlineLevel="0" collapsed="false">
      <c r="A9" s="18" t="s">
        <v>313</v>
      </c>
      <c r="B9" s="4" t="s">
        <v>314</v>
      </c>
    </row>
    <row r="11" customFormat="false" ht="15" hidden="false" customHeight="false" outlineLevel="0" collapsed="false">
      <c r="A11" s="3" t="s">
        <v>315</v>
      </c>
      <c r="B11" s="3"/>
    </row>
    <row r="12" customFormat="false" ht="75" hidden="false" customHeight="true" outlineLevel="0" collapsed="false">
      <c r="A12" s="56" t="s">
        <v>316</v>
      </c>
      <c r="B12" s="57" t="s">
        <v>317</v>
      </c>
    </row>
    <row r="13" customFormat="false" ht="75" hidden="false" customHeight="true" outlineLevel="0" collapsed="false">
      <c r="A13" s="56" t="s">
        <v>318</v>
      </c>
      <c r="B13" s="57" t="s">
        <v>319</v>
      </c>
    </row>
    <row r="14" customFormat="false" ht="75" hidden="false" customHeight="true" outlineLevel="0" collapsed="false">
      <c r="A14" s="56" t="s">
        <v>320</v>
      </c>
      <c r="B14" s="57" t="s">
        <v>321</v>
      </c>
    </row>
    <row r="15" customFormat="false" ht="75" hidden="false" customHeight="true" outlineLevel="0" collapsed="false">
      <c r="A15" s="56" t="s">
        <v>322</v>
      </c>
      <c r="B15" s="57" t="s">
        <v>323</v>
      </c>
    </row>
    <row r="16" customFormat="false" ht="75" hidden="false" customHeight="true" outlineLevel="0" collapsed="false">
      <c r="A16" s="56" t="s">
        <v>324</v>
      </c>
      <c r="B16" s="57" t="s">
        <v>325</v>
      </c>
    </row>
    <row r="17" customFormat="false" ht="75" hidden="false" customHeight="true" outlineLevel="0" collapsed="false">
      <c r="A17" s="56" t="s">
        <v>326</v>
      </c>
      <c r="B17" s="57" t="s">
        <v>327</v>
      </c>
    </row>
    <row r="18" customFormat="false" ht="75" hidden="false" customHeight="true" outlineLevel="0" collapsed="false">
      <c r="A18" s="56" t="s">
        <v>328</v>
      </c>
      <c r="B18" s="57" t="s">
        <v>329</v>
      </c>
    </row>
    <row r="19" customFormat="false" ht="75" hidden="false" customHeight="true" outlineLevel="0" collapsed="false">
      <c r="A19" s="56" t="s">
        <v>330</v>
      </c>
      <c r="B19" s="57" t="s">
        <v>331</v>
      </c>
    </row>
    <row r="20" customFormat="false" ht="75" hidden="false" customHeight="true" outlineLevel="0" collapsed="false">
      <c r="A20" s="56" t="s">
        <v>332</v>
      </c>
      <c r="B20" s="57" t="s">
        <v>333</v>
      </c>
    </row>
    <row r="21" customFormat="false" ht="75" hidden="false" customHeight="true" outlineLevel="0" collapsed="false">
      <c r="A21" s="56" t="s">
        <v>334</v>
      </c>
      <c r="B21" s="57" t="s">
        <v>335</v>
      </c>
    </row>
    <row r="22" customFormat="false" ht="75" hidden="false" customHeight="true" outlineLevel="0" collapsed="false">
      <c r="A22" s="56" t="s">
        <v>336</v>
      </c>
      <c r="B22" s="57" t="s">
        <v>337</v>
      </c>
    </row>
    <row r="23" customFormat="false" ht="75" hidden="false" customHeight="true" outlineLevel="0" collapsed="false">
      <c r="A23" s="56" t="s">
        <v>338</v>
      </c>
      <c r="B23" s="57" t="s">
        <v>339</v>
      </c>
    </row>
    <row r="24" customFormat="false" ht="75" hidden="false" customHeight="true" outlineLevel="0" collapsed="false">
      <c r="A24" s="56" t="s">
        <v>340</v>
      </c>
      <c r="B24" s="57" t="s">
        <v>341</v>
      </c>
    </row>
    <row r="25" customFormat="false" ht="75" hidden="false" customHeight="true" outlineLevel="0" collapsed="false">
      <c r="A25" s="56" t="s">
        <v>342</v>
      </c>
      <c r="B25" s="57" t="s">
        <v>343</v>
      </c>
    </row>
    <row r="26" customFormat="false" ht="75" hidden="false" customHeight="true" outlineLevel="0" collapsed="false">
      <c r="A26" s="56" t="s">
        <v>344</v>
      </c>
      <c r="B26" s="57" t="s">
        <v>345</v>
      </c>
    </row>
  </sheetData>
  <mergeCells count="3">
    <mergeCell ref="A1:B1"/>
    <mergeCell ref="A3:B3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2026-07-30T03:31:58Z</dcterms:created>
  <dc:creator>openpyxl</dc:creator>
  <dc:description/>
  <dc:language>en-US</dc:language>
  <cp:lastModifiedBy/>
  <dcterms:modified xsi:type="dcterms:W3CDTF">2026-07-30T03:32:08Z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